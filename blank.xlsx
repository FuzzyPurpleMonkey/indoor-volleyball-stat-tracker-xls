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ichardho/Documents/GitHub/indoor-volleyball-stat-tracker-xls/"/>
    </mc:Choice>
  </mc:AlternateContent>
  <xr:revisionPtr revIDLastSave="0" documentId="13_ncr:1_{0FAA5E42-4B5D-B74D-AA73-786F773C4A5D}" xr6:coauthVersionLast="47" xr6:coauthVersionMax="47" xr10:uidLastSave="{00000000-0000-0000-0000-000000000000}"/>
  <bookViews>
    <workbookView xWindow="0" yWindow="600" windowWidth="25600" windowHeight="29680" activeTab="1" xr2:uid="{2CE52DA9-6393-134E-951B-1D7A1F46C258}"/>
  </bookViews>
  <sheets>
    <sheet name="Legend" sheetId="2" r:id="rId1"/>
    <sheet name="Data" sheetId="3" r:id="rId2"/>
    <sheet name="Match Score" sheetId="4" r:id="rId3"/>
    <sheet name="Set Score" sheetId="12" r:id="rId4"/>
    <sheet name="vs History" sheetId="14" r:id="rId5"/>
  </sheets>
  <definedNames>
    <definedName name="_xlnm._FilterDatabase" localSheetId="1" hidden="1">Data!$A$1:$G$882</definedName>
    <definedName name="AssistAttempt">Legend!$A$32</definedName>
    <definedName name="AssistError">Legend!$A$34</definedName>
    <definedName name="AssistSuccess">Legend!$A$33</definedName>
    <definedName name="AssistZero">Legend!$A$32</definedName>
    <definedName name="BlockError">Legend!$A$40</definedName>
    <definedName name="BlockHalf">Legend!$A$38</definedName>
    <definedName name="BlockKillError">Legend!$A$43</definedName>
    <definedName name="BlockKillHalf">Legend!$A$41</definedName>
    <definedName name="BlockKillSolo">Legend!$A$42</definedName>
    <definedName name="BlockSolo">Legend!$A$39</definedName>
    <definedName name="Cover">Legend!$A$50</definedName>
    <definedName name="Dig">Legend!$A$49</definedName>
    <definedName name="DigError">Legend!$A$51</definedName>
    <definedName name="GeneralError">Legend!$A$44</definedName>
    <definedName name="KillAttempt">Legend!$A$35</definedName>
    <definedName name="KillError">Legend!$A$36</definedName>
    <definedName name="KillSuccess">Legend!$A$37</definedName>
    <definedName name="OppKey">Legend!$A$26</definedName>
    <definedName name="Pass0">Legend!$A$45</definedName>
    <definedName name="Pass1">Legend!$A$46</definedName>
    <definedName name="Pass2">Legend!$A$47</definedName>
    <definedName name="Pass3">Legend!$A$48</definedName>
    <definedName name="ServeAce">Legend!$A$30</definedName>
    <definedName name="ServeError">Legend!$A$31</definedName>
    <definedName name="ServeIn">Legend!$A$29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1" i="3" l="1"/>
  <c r="C581" i="3"/>
  <c r="D580" i="3"/>
  <c r="C580" i="3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E137" i="3" s="1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D882" i="3"/>
  <c r="C882" i="3"/>
  <c r="G882" i="3" s="1"/>
  <c r="D881" i="3"/>
  <c r="C881" i="3"/>
  <c r="G881" i="3" s="1"/>
  <c r="D880" i="3"/>
  <c r="C880" i="3"/>
  <c r="G880" i="3" s="1"/>
  <c r="D879" i="3"/>
  <c r="C879" i="3"/>
  <c r="G879" i="3" s="1"/>
  <c r="D878" i="3"/>
  <c r="C878" i="3"/>
  <c r="G878" i="3" s="1"/>
  <c r="D877" i="3"/>
  <c r="C877" i="3"/>
  <c r="G877" i="3" s="1"/>
  <c r="D876" i="3"/>
  <c r="C876" i="3"/>
  <c r="D875" i="3"/>
  <c r="C875" i="3"/>
  <c r="G875" i="3" s="1"/>
  <c r="D874" i="3"/>
  <c r="C874" i="3"/>
  <c r="G874" i="3" s="1"/>
  <c r="D873" i="3"/>
  <c r="C873" i="3"/>
  <c r="D872" i="3"/>
  <c r="C872" i="3"/>
  <c r="G872" i="3" s="1"/>
  <c r="D871" i="3"/>
  <c r="C871" i="3"/>
  <c r="G871" i="3" s="1"/>
  <c r="D870" i="3"/>
  <c r="C870" i="3"/>
  <c r="G870" i="3" s="1"/>
  <c r="C771" i="3"/>
  <c r="G771" i="3" s="1"/>
  <c r="D771" i="3"/>
  <c r="C772" i="3"/>
  <c r="D772" i="3"/>
  <c r="C773" i="3"/>
  <c r="E773" i="3" s="1"/>
  <c r="D773" i="3"/>
  <c r="C774" i="3"/>
  <c r="E774" i="3" s="1"/>
  <c r="D774" i="3"/>
  <c r="C775" i="3"/>
  <c r="G775" i="3" s="1"/>
  <c r="D775" i="3"/>
  <c r="C776" i="3"/>
  <c r="F776" i="3" s="1"/>
  <c r="D776" i="3"/>
  <c r="C777" i="3"/>
  <c r="E777" i="3" s="1"/>
  <c r="D777" i="3"/>
  <c r="C778" i="3"/>
  <c r="E778" i="3" s="1"/>
  <c r="D778" i="3"/>
  <c r="C779" i="3"/>
  <c r="E779" i="3" s="1"/>
  <c r="D779" i="3"/>
  <c r="C780" i="3"/>
  <c r="F780" i="3" s="1"/>
  <c r="D780" i="3"/>
  <c r="C781" i="3"/>
  <c r="E781" i="3" s="1"/>
  <c r="D781" i="3"/>
  <c r="C782" i="3"/>
  <c r="E782" i="3" s="1"/>
  <c r="D782" i="3"/>
  <c r="C783" i="3"/>
  <c r="D783" i="3"/>
  <c r="C784" i="3"/>
  <c r="G784" i="3" s="1"/>
  <c r="D784" i="3"/>
  <c r="C785" i="3"/>
  <c r="E785" i="3" s="1"/>
  <c r="D785" i="3"/>
  <c r="C786" i="3"/>
  <c r="D786" i="3"/>
  <c r="C787" i="3"/>
  <c r="E787" i="3" s="1"/>
  <c r="D787" i="3"/>
  <c r="C788" i="3"/>
  <c r="D788" i="3"/>
  <c r="C789" i="3"/>
  <c r="E789" i="3" s="1"/>
  <c r="D789" i="3"/>
  <c r="C790" i="3"/>
  <c r="E790" i="3" s="1"/>
  <c r="D790" i="3"/>
  <c r="C791" i="3"/>
  <c r="G791" i="3" s="1"/>
  <c r="D791" i="3"/>
  <c r="C792" i="3"/>
  <c r="E792" i="3" s="1"/>
  <c r="D792" i="3"/>
  <c r="C793" i="3"/>
  <c r="E793" i="3" s="1"/>
  <c r="D793" i="3"/>
  <c r="C794" i="3"/>
  <c r="E794" i="3" s="1"/>
  <c r="D794" i="3"/>
  <c r="C795" i="3"/>
  <c r="F795" i="3" s="1"/>
  <c r="D795" i="3"/>
  <c r="C796" i="3"/>
  <c r="F796" i="3" s="1"/>
  <c r="D796" i="3"/>
  <c r="C797" i="3"/>
  <c r="F797" i="3" s="1"/>
  <c r="D797" i="3"/>
  <c r="C798" i="3"/>
  <c r="E798" i="3" s="1"/>
  <c r="D798" i="3"/>
  <c r="C799" i="3"/>
  <c r="G799" i="3" s="1"/>
  <c r="D799" i="3"/>
  <c r="C800" i="3"/>
  <c r="D800" i="3"/>
  <c r="C801" i="3"/>
  <c r="E801" i="3" s="1"/>
  <c r="D801" i="3"/>
  <c r="C802" i="3"/>
  <c r="E802" i="3" s="1"/>
  <c r="D802" i="3"/>
  <c r="C803" i="3"/>
  <c r="G803" i="3" s="1"/>
  <c r="D803" i="3"/>
  <c r="C804" i="3"/>
  <c r="F804" i="3" s="1"/>
  <c r="D804" i="3"/>
  <c r="C805" i="3"/>
  <c r="G805" i="3" s="1"/>
  <c r="D805" i="3"/>
  <c r="C806" i="3"/>
  <c r="E806" i="3" s="1"/>
  <c r="D806" i="3"/>
  <c r="C807" i="3"/>
  <c r="G807" i="3" s="1"/>
  <c r="D807" i="3"/>
  <c r="C808" i="3"/>
  <c r="E808" i="3" s="1"/>
  <c r="D808" i="3"/>
  <c r="C809" i="3"/>
  <c r="E809" i="3" s="1"/>
  <c r="D809" i="3"/>
  <c r="C810" i="3"/>
  <c r="E810" i="3" s="1"/>
  <c r="D810" i="3"/>
  <c r="C811" i="3"/>
  <c r="F811" i="3" s="1"/>
  <c r="D811" i="3"/>
  <c r="C812" i="3"/>
  <c r="D812" i="3"/>
  <c r="C813" i="3"/>
  <c r="F813" i="3" s="1"/>
  <c r="D813" i="3"/>
  <c r="C814" i="3"/>
  <c r="E814" i="3" s="1"/>
  <c r="D814" i="3"/>
  <c r="C815" i="3"/>
  <c r="D815" i="3"/>
  <c r="C816" i="3"/>
  <c r="E816" i="3" s="1"/>
  <c r="D816" i="3"/>
  <c r="C817" i="3"/>
  <c r="E817" i="3" s="1"/>
  <c r="D817" i="3"/>
  <c r="C818" i="3"/>
  <c r="F818" i="3" s="1"/>
  <c r="D818" i="3"/>
  <c r="C819" i="3"/>
  <c r="D819" i="3"/>
  <c r="C820" i="3"/>
  <c r="F820" i="3" s="1"/>
  <c r="D820" i="3"/>
  <c r="C821" i="3"/>
  <c r="G821" i="3" s="1"/>
  <c r="D821" i="3"/>
  <c r="C822" i="3"/>
  <c r="E822" i="3" s="1"/>
  <c r="D822" i="3"/>
  <c r="C823" i="3"/>
  <c r="G823" i="3" s="1"/>
  <c r="D823" i="3"/>
  <c r="C824" i="3"/>
  <c r="D824" i="3"/>
  <c r="C825" i="3"/>
  <c r="E825" i="3" s="1"/>
  <c r="D825" i="3"/>
  <c r="C826" i="3"/>
  <c r="D826" i="3"/>
  <c r="C827" i="3"/>
  <c r="E827" i="3" s="1"/>
  <c r="D827" i="3"/>
  <c r="C828" i="3"/>
  <c r="D828" i="3"/>
  <c r="C829" i="3"/>
  <c r="E829" i="3" s="1"/>
  <c r="D829" i="3"/>
  <c r="C830" i="3"/>
  <c r="E830" i="3" s="1"/>
  <c r="D830" i="3"/>
  <c r="C831" i="3"/>
  <c r="D831" i="3"/>
  <c r="C832" i="3"/>
  <c r="D832" i="3"/>
  <c r="C833" i="3"/>
  <c r="E833" i="3" s="1"/>
  <c r="D833" i="3"/>
  <c r="C834" i="3"/>
  <c r="F834" i="3" s="1"/>
  <c r="D834" i="3"/>
  <c r="C835" i="3"/>
  <c r="E835" i="3" s="1"/>
  <c r="D835" i="3"/>
  <c r="C836" i="3"/>
  <c r="F836" i="3" s="1"/>
  <c r="D836" i="3"/>
  <c r="C837" i="3"/>
  <c r="G837" i="3" s="1"/>
  <c r="D837" i="3"/>
  <c r="C838" i="3"/>
  <c r="E838" i="3" s="1"/>
  <c r="D838" i="3"/>
  <c r="C839" i="3"/>
  <c r="G839" i="3" s="1"/>
  <c r="D839" i="3"/>
  <c r="C840" i="3"/>
  <c r="F840" i="3" s="1"/>
  <c r="D840" i="3"/>
  <c r="C841" i="3"/>
  <c r="E841" i="3" s="1"/>
  <c r="D841" i="3"/>
  <c r="C842" i="3"/>
  <c r="D842" i="3"/>
  <c r="C843" i="3"/>
  <c r="E843" i="3" s="1"/>
  <c r="D843" i="3"/>
  <c r="C844" i="3"/>
  <c r="F844" i="3" s="1"/>
  <c r="D844" i="3"/>
  <c r="C845" i="3"/>
  <c r="E845" i="3" s="1"/>
  <c r="D845" i="3"/>
  <c r="C846" i="3"/>
  <c r="E846" i="3" s="1"/>
  <c r="D846" i="3"/>
  <c r="C847" i="3"/>
  <c r="G847" i="3" s="1"/>
  <c r="D847" i="3"/>
  <c r="C848" i="3"/>
  <c r="D848" i="3"/>
  <c r="C849" i="3"/>
  <c r="E849" i="3" s="1"/>
  <c r="D849" i="3"/>
  <c r="C850" i="3"/>
  <c r="G850" i="3" s="1"/>
  <c r="D850" i="3"/>
  <c r="C851" i="3"/>
  <c r="E851" i="3" s="1"/>
  <c r="D851" i="3"/>
  <c r="C852" i="3"/>
  <c r="F852" i="3" s="1"/>
  <c r="D852" i="3"/>
  <c r="C853" i="3"/>
  <c r="E853" i="3" s="1"/>
  <c r="D853" i="3"/>
  <c r="C854" i="3"/>
  <c r="E854" i="3" s="1"/>
  <c r="D854" i="3"/>
  <c r="C855" i="3"/>
  <c r="G855" i="3" s="1"/>
  <c r="D855" i="3"/>
  <c r="C856" i="3"/>
  <c r="E856" i="3" s="1"/>
  <c r="D856" i="3"/>
  <c r="C857" i="3"/>
  <c r="E857" i="3" s="1"/>
  <c r="D857" i="3"/>
  <c r="C858" i="3"/>
  <c r="D858" i="3"/>
  <c r="C859" i="3"/>
  <c r="F859" i="3" s="1"/>
  <c r="D859" i="3"/>
  <c r="C860" i="3"/>
  <c r="D860" i="3"/>
  <c r="C861" i="3"/>
  <c r="F861" i="3" s="1"/>
  <c r="D861" i="3"/>
  <c r="C862" i="3"/>
  <c r="E862" i="3" s="1"/>
  <c r="D862" i="3"/>
  <c r="C863" i="3"/>
  <c r="D863" i="3"/>
  <c r="C864" i="3"/>
  <c r="E864" i="3" s="1"/>
  <c r="D864" i="3"/>
  <c r="C865" i="3"/>
  <c r="E865" i="3" s="1"/>
  <c r="D865" i="3"/>
  <c r="C866" i="3"/>
  <c r="E866" i="3" s="1"/>
  <c r="D866" i="3"/>
  <c r="C867" i="3"/>
  <c r="G867" i="3" s="1"/>
  <c r="D867" i="3"/>
  <c r="C868" i="3"/>
  <c r="D868" i="3"/>
  <c r="C869" i="3"/>
  <c r="G869" i="3" s="1"/>
  <c r="D869" i="3"/>
  <c r="D770" i="3"/>
  <c r="C770" i="3"/>
  <c r="D769" i="3"/>
  <c r="C769" i="3"/>
  <c r="C583" i="3"/>
  <c r="E583" i="3" s="1"/>
  <c r="D583" i="3"/>
  <c r="C584" i="3"/>
  <c r="D584" i="3"/>
  <c r="C585" i="3"/>
  <c r="D585" i="3"/>
  <c r="C586" i="3"/>
  <c r="E586" i="3" s="1"/>
  <c r="D586" i="3"/>
  <c r="C587" i="3"/>
  <c r="D587" i="3"/>
  <c r="C588" i="3"/>
  <c r="E588" i="3" s="1"/>
  <c r="D588" i="3"/>
  <c r="C589" i="3"/>
  <c r="D589" i="3"/>
  <c r="C590" i="3"/>
  <c r="E590" i="3" s="1"/>
  <c r="D590" i="3"/>
  <c r="C591" i="3"/>
  <c r="D591" i="3"/>
  <c r="C592" i="3"/>
  <c r="D592" i="3"/>
  <c r="C593" i="3"/>
  <c r="D593" i="3"/>
  <c r="C594" i="3"/>
  <c r="E594" i="3" s="1"/>
  <c r="D594" i="3"/>
  <c r="C595" i="3"/>
  <c r="D595" i="3"/>
  <c r="C596" i="3"/>
  <c r="E596" i="3" s="1"/>
  <c r="D596" i="3"/>
  <c r="C597" i="3"/>
  <c r="D597" i="3"/>
  <c r="C598" i="3"/>
  <c r="D598" i="3"/>
  <c r="C599" i="3"/>
  <c r="E599" i="3" s="1"/>
  <c r="D599" i="3"/>
  <c r="C600" i="3"/>
  <c r="D600" i="3"/>
  <c r="C601" i="3"/>
  <c r="E601" i="3" s="1"/>
  <c r="D601" i="3"/>
  <c r="C602" i="3"/>
  <c r="E602" i="3" s="1"/>
  <c r="D602" i="3"/>
  <c r="C603" i="3"/>
  <c r="E603" i="3" s="1"/>
  <c r="D603" i="3"/>
  <c r="C604" i="3"/>
  <c r="E604" i="3" s="1"/>
  <c r="D604" i="3"/>
  <c r="C605" i="3"/>
  <c r="D605" i="3"/>
  <c r="C606" i="3"/>
  <c r="E606" i="3" s="1"/>
  <c r="D606" i="3"/>
  <c r="C607" i="3"/>
  <c r="E607" i="3" s="1"/>
  <c r="D607" i="3"/>
  <c r="C608" i="3"/>
  <c r="E608" i="3" s="1"/>
  <c r="D608" i="3"/>
  <c r="C609" i="3"/>
  <c r="D609" i="3"/>
  <c r="C610" i="3"/>
  <c r="E610" i="3" s="1"/>
  <c r="D610" i="3"/>
  <c r="C611" i="3"/>
  <c r="E611" i="3" s="1"/>
  <c r="D611" i="3"/>
  <c r="C612" i="3"/>
  <c r="D612" i="3"/>
  <c r="C613" i="3"/>
  <c r="D613" i="3"/>
  <c r="C614" i="3"/>
  <c r="E614" i="3" s="1"/>
  <c r="D614" i="3"/>
  <c r="C615" i="3"/>
  <c r="E615" i="3" s="1"/>
  <c r="D615" i="3"/>
  <c r="C616" i="3"/>
  <c r="E616" i="3" s="1"/>
  <c r="D616" i="3"/>
  <c r="C617" i="3"/>
  <c r="E617" i="3" s="1"/>
  <c r="D617" i="3"/>
  <c r="C618" i="3"/>
  <c r="E618" i="3" s="1"/>
  <c r="D618" i="3"/>
  <c r="C619" i="3"/>
  <c r="D619" i="3"/>
  <c r="C620" i="3"/>
  <c r="E620" i="3" s="1"/>
  <c r="D620" i="3"/>
  <c r="C621" i="3"/>
  <c r="D621" i="3"/>
  <c r="C622" i="3"/>
  <c r="E622" i="3" s="1"/>
  <c r="D622" i="3"/>
  <c r="C623" i="3"/>
  <c r="D623" i="3"/>
  <c r="C624" i="3"/>
  <c r="E624" i="3" s="1"/>
  <c r="D624" i="3"/>
  <c r="C625" i="3"/>
  <c r="E625" i="3" s="1"/>
  <c r="D625" i="3"/>
  <c r="C626" i="3"/>
  <c r="E626" i="3" s="1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E633" i="3" s="1"/>
  <c r="D633" i="3"/>
  <c r="C634" i="3"/>
  <c r="E634" i="3" s="1"/>
  <c r="D634" i="3"/>
  <c r="C635" i="3"/>
  <c r="D635" i="3"/>
  <c r="C636" i="3"/>
  <c r="E636" i="3" s="1"/>
  <c r="D636" i="3"/>
  <c r="C637" i="3"/>
  <c r="D637" i="3"/>
  <c r="C638" i="3"/>
  <c r="E638" i="3" s="1"/>
  <c r="D638" i="3"/>
  <c r="C639" i="3"/>
  <c r="E639" i="3" s="1"/>
  <c r="D639" i="3"/>
  <c r="C640" i="3"/>
  <c r="E640" i="3" s="1"/>
  <c r="D640" i="3"/>
  <c r="C641" i="3"/>
  <c r="E641" i="3" s="1"/>
  <c r="D641" i="3"/>
  <c r="C642" i="3"/>
  <c r="E642" i="3" s="1"/>
  <c r="D642" i="3"/>
  <c r="C643" i="3"/>
  <c r="D643" i="3"/>
  <c r="C644" i="3"/>
  <c r="E644" i="3" s="1"/>
  <c r="D644" i="3"/>
  <c r="C645" i="3"/>
  <c r="D645" i="3"/>
  <c r="C646" i="3"/>
  <c r="D646" i="3"/>
  <c r="C647" i="3"/>
  <c r="D647" i="3"/>
  <c r="C648" i="3"/>
  <c r="E648" i="3" s="1"/>
  <c r="D648" i="3"/>
  <c r="C649" i="3"/>
  <c r="D649" i="3"/>
  <c r="C650" i="3"/>
  <c r="E650" i="3" s="1"/>
  <c r="D650" i="3"/>
  <c r="C651" i="3"/>
  <c r="D651" i="3"/>
  <c r="C652" i="3"/>
  <c r="E652" i="3" s="1"/>
  <c r="D652" i="3"/>
  <c r="C653" i="3"/>
  <c r="D653" i="3"/>
  <c r="C654" i="3"/>
  <c r="D654" i="3"/>
  <c r="C655" i="3"/>
  <c r="E655" i="3" s="1"/>
  <c r="D655" i="3"/>
  <c r="C656" i="3"/>
  <c r="E656" i="3" s="1"/>
  <c r="D656" i="3"/>
  <c r="C657" i="3"/>
  <c r="E657" i="3" s="1"/>
  <c r="D657" i="3"/>
  <c r="C658" i="3"/>
  <c r="E658" i="3" s="1"/>
  <c r="D658" i="3"/>
  <c r="C659" i="3"/>
  <c r="D659" i="3"/>
  <c r="C660" i="3"/>
  <c r="E660" i="3" s="1"/>
  <c r="D660" i="3"/>
  <c r="C661" i="3"/>
  <c r="D661" i="3"/>
  <c r="C662" i="3"/>
  <c r="D662" i="3"/>
  <c r="C663" i="3"/>
  <c r="D663" i="3"/>
  <c r="C664" i="3"/>
  <c r="D664" i="3"/>
  <c r="C665" i="3"/>
  <c r="E665" i="3" s="1"/>
  <c r="D665" i="3"/>
  <c r="C666" i="3"/>
  <c r="E666" i="3" s="1"/>
  <c r="D666" i="3"/>
  <c r="C667" i="3"/>
  <c r="E667" i="3" s="1"/>
  <c r="D667" i="3"/>
  <c r="C668" i="3"/>
  <c r="D668" i="3"/>
  <c r="C669" i="3"/>
  <c r="D669" i="3"/>
  <c r="C670" i="3"/>
  <c r="E670" i="3" s="1"/>
  <c r="D670" i="3"/>
  <c r="C671" i="3"/>
  <c r="E671" i="3" s="1"/>
  <c r="D671" i="3"/>
  <c r="C672" i="3"/>
  <c r="E672" i="3" s="1"/>
  <c r="D672" i="3"/>
  <c r="C673" i="3"/>
  <c r="E673" i="3" s="1"/>
  <c r="D673" i="3"/>
  <c r="C674" i="3"/>
  <c r="E674" i="3" s="1"/>
  <c r="D674" i="3"/>
  <c r="C675" i="3"/>
  <c r="D675" i="3"/>
  <c r="C676" i="3"/>
  <c r="D676" i="3"/>
  <c r="C677" i="3"/>
  <c r="D677" i="3"/>
  <c r="C678" i="3"/>
  <c r="E678" i="3" s="1"/>
  <c r="D678" i="3"/>
  <c r="C679" i="3"/>
  <c r="D679" i="3"/>
  <c r="C680" i="3"/>
  <c r="E680" i="3" s="1"/>
  <c r="D680" i="3"/>
  <c r="C681" i="3"/>
  <c r="D681" i="3"/>
  <c r="C682" i="3"/>
  <c r="E682" i="3" s="1"/>
  <c r="D682" i="3"/>
  <c r="C683" i="3"/>
  <c r="D683" i="3"/>
  <c r="C684" i="3"/>
  <c r="E684" i="3" s="1"/>
  <c r="D684" i="3"/>
  <c r="C685" i="3"/>
  <c r="D685" i="3"/>
  <c r="C686" i="3"/>
  <c r="D686" i="3"/>
  <c r="C687" i="3"/>
  <c r="D687" i="3"/>
  <c r="C688" i="3"/>
  <c r="E688" i="3" s="1"/>
  <c r="D688" i="3"/>
  <c r="C689" i="3"/>
  <c r="D689" i="3"/>
  <c r="C690" i="3"/>
  <c r="E690" i="3" s="1"/>
  <c r="D690" i="3"/>
  <c r="C691" i="3"/>
  <c r="D691" i="3"/>
  <c r="C692" i="3"/>
  <c r="D692" i="3"/>
  <c r="C693" i="3"/>
  <c r="D693" i="3"/>
  <c r="C694" i="3"/>
  <c r="E694" i="3" s="1"/>
  <c r="D694" i="3"/>
  <c r="C695" i="3"/>
  <c r="D695" i="3"/>
  <c r="C696" i="3"/>
  <c r="D696" i="3"/>
  <c r="C697" i="3"/>
  <c r="D697" i="3"/>
  <c r="C698" i="3"/>
  <c r="E698" i="3" s="1"/>
  <c r="D698" i="3"/>
  <c r="C699" i="3"/>
  <c r="D699" i="3"/>
  <c r="C700" i="3"/>
  <c r="D700" i="3"/>
  <c r="C701" i="3"/>
  <c r="D701" i="3"/>
  <c r="C702" i="3"/>
  <c r="E702" i="3" s="1"/>
  <c r="D702" i="3"/>
  <c r="C703" i="3"/>
  <c r="D703" i="3"/>
  <c r="C704" i="3"/>
  <c r="E704" i="3" s="1"/>
  <c r="D704" i="3"/>
  <c r="C705" i="3"/>
  <c r="E705" i="3" s="1"/>
  <c r="D705" i="3"/>
  <c r="C706" i="3"/>
  <c r="E706" i="3" s="1"/>
  <c r="D706" i="3"/>
  <c r="C707" i="3"/>
  <c r="D707" i="3"/>
  <c r="C708" i="3"/>
  <c r="D708" i="3"/>
  <c r="C709" i="3"/>
  <c r="D709" i="3"/>
  <c r="C710" i="3"/>
  <c r="D710" i="3"/>
  <c r="C711" i="3"/>
  <c r="D711" i="3"/>
  <c r="C712" i="3"/>
  <c r="E712" i="3" s="1"/>
  <c r="D712" i="3"/>
  <c r="C713" i="3"/>
  <c r="E713" i="3" s="1"/>
  <c r="D713" i="3"/>
  <c r="C714" i="3"/>
  <c r="E714" i="3" s="1"/>
  <c r="D714" i="3"/>
  <c r="C715" i="3"/>
  <c r="D715" i="3"/>
  <c r="C716" i="3"/>
  <c r="D716" i="3"/>
  <c r="C717" i="3"/>
  <c r="D717" i="3"/>
  <c r="C718" i="3"/>
  <c r="D718" i="3"/>
  <c r="C719" i="3"/>
  <c r="E719" i="3" s="1"/>
  <c r="D719" i="3"/>
  <c r="C720" i="3"/>
  <c r="E720" i="3" s="1"/>
  <c r="D720" i="3"/>
  <c r="C721" i="3"/>
  <c r="D721" i="3"/>
  <c r="C722" i="3"/>
  <c r="E722" i="3" s="1"/>
  <c r="D722" i="3"/>
  <c r="C723" i="3"/>
  <c r="D723" i="3"/>
  <c r="C724" i="3"/>
  <c r="G724" i="3" s="1"/>
  <c r="D724" i="3"/>
  <c r="C725" i="3"/>
  <c r="G725" i="3" s="1"/>
  <c r="D725" i="3"/>
  <c r="C726" i="3"/>
  <c r="D726" i="3"/>
  <c r="C727" i="3"/>
  <c r="D727" i="3"/>
  <c r="C728" i="3"/>
  <c r="D728" i="3"/>
  <c r="C729" i="3"/>
  <c r="D729" i="3"/>
  <c r="C730" i="3"/>
  <c r="E730" i="3" s="1"/>
  <c r="D730" i="3"/>
  <c r="C731" i="3"/>
  <c r="D731" i="3"/>
  <c r="C732" i="3"/>
  <c r="E732" i="3" s="1"/>
  <c r="D732" i="3"/>
  <c r="C733" i="3"/>
  <c r="G733" i="3" s="1"/>
  <c r="D733" i="3"/>
  <c r="C734" i="3"/>
  <c r="E734" i="3" s="1"/>
  <c r="D734" i="3"/>
  <c r="C735" i="3"/>
  <c r="G735" i="3" s="1"/>
  <c r="D735" i="3"/>
  <c r="C736" i="3"/>
  <c r="E736" i="3" s="1"/>
  <c r="D736" i="3"/>
  <c r="C737" i="3"/>
  <c r="G737" i="3" s="1"/>
  <c r="D737" i="3"/>
  <c r="C738" i="3"/>
  <c r="E738" i="3" s="1"/>
  <c r="D738" i="3"/>
  <c r="C739" i="3"/>
  <c r="G739" i="3" s="1"/>
  <c r="D739" i="3"/>
  <c r="C740" i="3"/>
  <c r="E740" i="3" s="1"/>
  <c r="D740" i="3"/>
  <c r="C741" i="3"/>
  <c r="G741" i="3" s="1"/>
  <c r="D741" i="3"/>
  <c r="C742" i="3"/>
  <c r="E742" i="3" s="1"/>
  <c r="D742" i="3"/>
  <c r="C743" i="3"/>
  <c r="E743" i="3" s="1"/>
  <c r="D743" i="3"/>
  <c r="C744" i="3"/>
  <c r="E744" i="3" s="1"/>
  <c r="D744" i="3"/>
  <c r="C745" i="3"/>
  <c r="F745" i="3" s="1"/>
  <c r="D745" i="3"/>
  <c r="C746" i="3"/>
  <c r="E746" i="3" s="1"/>
  <c r="D746" i="3"/>
  <c r="C747" i="3"/>
  <c r="D747" i="3"/>
  <c r="C748" i="3"/>
  <c r="G748" i="3" s="1"/>
  <c r="D748" i="3"/>
  <c r="C749" i="3"/>
  <c r="D749" i="3"/>
  <c r="C750" i="3"/>
  <c r="E750" i="3" s="1"/>
  <c r="D750" i="3"/>
  <c r="C751" i="3"/>
  <c r="F751" i="3" s="1"/>
  <c r="D751" i="3"/>
  <c r="C752" i="3"/>
  <c r="F752" i="3" s="1"/>
  <c r="D752" i="3"/>
  <c r="C753" i="3"/>
  <c r="D753" i="3"/>
  <c r="C754" i="3"/>
  <c r="F754" i="3" s="1"/>
  <c r="D754" i="3"/>
  <c r="C755" i="3"/>
  <c r="G755" i="3" s="1"/>
  <c r="D755" i="3"/>
  <c r="C756" i="3"/>
  <c r="E756" i="3" s="1"/>
  <c r="D756" i="3"/>
  <c r="C757" i="3"/>
  <c r="E757" i="3" s="1"/>
  <c r="D757" i="3"/>
  <c r="C758" i="3"/>
  <c r="D758" i="3"/>
  <c r="C759" i="3"/>
  <c r="E759" i="3" s="1"/>
  <c r="D759" i="3"/>
  <c r="C760" i="3"/>
  <c r="D760" i="3"/>
  <c r="C761" i="3"/>
  <c r="F761" i="3" s="1"/>
  <c r="D761" i="3"/>
  <c r="C762" i="3"/>
  <c r="G762" i="3" s="1"/>
  <c r="D762" i="3"/>
  <c r="C763" i="3"/>
  <c r="G763" i="3" s="1"/>
  <c r="D763" i="3"/>
  <c r="C764" i="3"/>
  <c r="E764" i="3" s="1"/>
  <c r="D764" i="3"/>
  <c r="C765" i="3"/>
  <c r="E765" i="3" s="1"/>
  <c r="D765" i="3"/>
  <c r="C766" i="3"/>
  <c r="G766" i="3" s="1"/>
  <c r="D766" i="3"/>
  <c r="C767" i="3"/>
  <c r="E767" i="3" s="1"/>
  <c r="D767" i="3"/>
  <c r="C768" i="3"/>
  <c r="F768" i="3" s="1"/>
  <c r="D768" i="3"/>
  <c r="D582" i="3"/>
  <c r="C582" i="3"/>
  <c r="E582" i="3" s="1"/>
  <c r="D402" i="3"/>
  <c r="G876" i="3" l="1"/>
  <c r="F868" i="3"/>
  <c r="G863" i="3"/>
  <c r="F860" i="3"/>
  <c r="G858" i="3"/>
  <c r="G848" i="3"/>
  <c r="G842" i="3"/>
  <c r="G832" i="3"/>
  <c r="G831" i="3"/>
  <c r="F828" i="3"/>
  <c r="G826" i="3"/>
  <c r="F824" i="3"/>
  <c r="G819" i="3"/>
  <c r="G815" i="3"/>
  <c r="F812" i="3"/>
  <c r="F800" i="3"/>
  <c r="F788" i="3"/>
  <c r="F786" i="3"/>
  <c r="G783" i="3"/>
  <c r="F772" i="3"/>
  <c r="F760" i="3"/>
  <c r="F758" i="3"/>
  <c r="G753" i="3"/>
  <c r="G747" i="3"/>
  <c r="G731" i="3"/>
  <c r="G729" i="3"/>
  <c r="G727" i="3"/>
  <c r="G726" i="3"/>
  <c r="F51" i="3"/>
  <c r="G51" i="3"/>
  <c r="E51" i="3"/>
  <c r="F137" i="3"/>
  <c r="G137" i="3"/>
  <c r="E882" i="3"/>
  <c r="F882" i="3"/>
  <c r="E881" i="3"/>
  <c r="F881" i="3"/>
  <c r="E880" i="3"/>
  <c r="F880" i="3"/>
  <c r="F771" i="3"/>
  <c r="E786" i="3"/>
  <c r="E771" i="3"/>
  <c r="G873" i="3"/>
  <c r="G866" i="3"/>
  <c r="E879" i="3"/>
  <c r="F879" i="3"/>
  <c r="E878" i="3"/>
  <c r="F878" i="3"/>
  <c r="F877" i="3"/>
  <c r="E877" i="3"/>
  <c r="F876" i="3"/>
  <c r="E876" i="3"/>
  <c r="F875" i="3"/>
  <c r="E875" i="3"/>
  <c r="F874" i="3"/>
  <c r="E874" i="3"/>
  <c r="F873" i="3"/>
  <c r="E873" i="3"/>
  <c r="E872" i="3"/>
  <c r="F872" i="3"/>
  <c r="E871" i="3"/>
  <c r="F871" i="3"/>
  <c r="E870" i="3"/>
  <c r="F870" i="3"/>
  <c r="G827" i="3"/>
  <c r="E842" i="3"/>
  <c r="F827" i="3"/>
  <c r="G864" i="3"/>
  <c r="F858" i="3"/>
  <c r="G851" i="3"/>
  <c r="F864" i="3"/>
  <c r="E858" i="3"/>
  <c r="F821" i="3"/>
  <c r="E821" i="3"/>
  <c r="F837" i="3"/>
  <c r="F808" i="3"/>
  <c r="E811" i="3"/>
  <c r="G800" i="3"/>
  <c r="F802" i="3"/>
  <c r="E776" i="3"/>
  <c r="F842" i="3"/>
  <c r="F839" i="3"/>
  <c r="E815" i="3"/>
  <c r="G808" i="3"/>
  <c r="F866" i="3"/>
  <c r="E860" i="3"/>
  <c r="G843" i="3"/>
  <c r="E788" i="3"/>
  <c r="F850" i="3"/>
  <c r="E837" i="3"/>
  <c r="G802" i="3"/>
  <c r="E852" i="3"/>
  <c r="E850" i="3"/>
  <c r="F843" i="3"/>
  <c r="F815" i="3"/>
  <c r="E812" i="3"/>
  <c r="E800" i="3"/>
  <c r="G789" i="3"/>
  <c r="G786" i="3"/>
  <c r="F779" i="3"/>
  <c r="G829" i="3"/>
  <c r="F829" i="3"/>
  <c r="G816" i="3"/>
  <c r="G794" i="3"/>
  <c r="E807" i="3"/>
  <c r="G769" i="3"/>
  <c r="G856" i="3"/>
  <c r="G835" i="3"/>
  <c r="F819" i="3"/>
  <c r="F856" i="3"/>
  <c r="G853" i="3"/>
  <c r="F848" i="3"/>
  <c r="G845" i="3"/>
  <c r="E840" i="3"/>
  <c r="F835" i="3"/>
  <c r="E819" i="3"/>
  <c r="E813" i="3"/>
  <c r="G770" i="3"/>
  <c r="E848" i="3"/>
  <c r="F845" i="3"/>
  <c r="G810" i="3"/>
  <c r="E804" i="3"/>
  <c r="G787" i="3"/>
  <c r="G779" i="3"/>
  <c r="G792" i="3"/>
  <c r="G773" i="3"/>
  <c r="F831" i="3"/>
  <c r="F823" i="3"/>
  <c r="F792" i="3"/>
  <c r="F784" i="3"/>
  <c r="G781" i="3"/>
  <c r="F773" i="3"/>
  <c r="E834" i="3"/>
  <c r="E831" i="3"/>
  <c r="E823" i="3"/>
  <c r="F794" i="3"/>
  <c r="E784" i="3"/>
  <c r="F781" i="3"/>
  <c r="E868" i="3"/>
  <c r="F778" i="3"/>
  <c r="F775" i="3"/>
  <c r="F869" i="3"/>
  <c r="F867" i="3"/>
  <c r="F863" i="3"/>
  <c r="E861" i="3"/>
  <c r="E859" i="3"/>
  <c r="E855" i="3"/>
  <c r="G840" i="3"/>
  <c r="E836" i="3"/>
  <c r="G834" i="3"/>
  <c r="F832" i="3"/>
  <c r="F826" i="3"/>
  <c r="E824" i="3"/>
  <c r="E818" i="3"/>
  <c r="G813" i="3"/>
  <c r="G811" i="3"/>
  <c r="F805" i="3"/>
  <c r="F803" i="3"/>
  <c r="F799" i="3"/>
  <c r="E797" i="3"/>
  <c r="E795" i="3"/>
  <c r="E791" i="3"/>
  <c r="G776" i="3"/>
  <c r="E772" i="3"/>
  <c r="F611" i="3"/>
  <c r="E869" i="3"/>
  <c r="E867" i="3"/>
  <c r="E863" i="3"/>
  <c r="E844" i="3"/>
  <c r="E832" i="3"/>
  <c r="E826" i="3"/>
  <c r="F807" i="3"/>
  <c r="E805" i="3"/>
  <c r="E803" i="3"/>
  <c r="E799" i="3"/>
  <c r="E780" i="3"/>
  <c r="G778" i="3"/>
  <c r="E796" i="3"/>
  <c r="G861" i="3"/>
  <c r="G859" i="3"/>
  <c r="F853" i="3"/>
  <c r="F851" i="3"/>
  <c r="F847" i="3"/>
  <c r="E839" i="3"/>
  <c r="G824" i="3"/>
  <c r="E820" i="3"/>
  <c r="G818" i="3"/>
  <c r="F816" i="3"/>
  <c r="F810" i="3"/>
  <c r="G797" i="3"/>
  <c r="G795" i="3"/>
  <c r="F789" i="3"/>
  <c r="F787" i="3"/>
  <c r="F783" i="3"/>
  <c r="E775" i="3"/>
  <c r="F855" i="3"/>
  <c r="E847" i="3"/>
  <c r="E828" i="3"/>
  <c r="F791" i="3"/>
  <c r="E783" i="3"/>
  <c r="G862" i="3"/>
  <c r="G846" i="3"/>
  <c r="G822" i="3"/>
  <c r="G774" i="3"/>
  <c r="G865" i="3"/>
  <c r="F862" i="3"/>
  <c r="G857" i="3"/>
  <c r="F854" i="3"/>
  <c r="G849" i="3"/>
  <c r="F846" i="3"/>
  <c r="G841" i="3"/>
  <c r="F838" i="3"/>
  <c r="G833" i="3"/>
  <c r="F830" i="3"/>
  <c r="G825" i="3"/>
  <c r="F822" i="3"/>
  <c r="G817" i="3"/>
  <c r="F814" i="3"/>
  <c r="G809" i="3"/>
  <c r="F806" i="3"/>
  <c r="G801" i="3"/>
  <c r="F798" i="3"/>
  <c r="G793" i="3"/>
  <c r="F790" i="3"/>
  <c r="G785" i="3"/>
  <c r="F782" i="3"/>
  <c r="G777" i="3"/>
  <c r="F774" i="3"/>
  <c r="G854" i="3"/>
  <c r="G838" i="3"/>
  <c r="G830" i="3"/>
  <c r="G814" i="3"/>
  <c r="G806" i="3"/>
  <c r="G798" i="3"/>
  <c r="G790" i="3"/>
  <c r="G782" i="3"/>
  <c r="G868" i="3"/>
  <c r="F865" i="3"/>
  <c r="G860" i="3"/>
  <c r="F857" i="3"/>
  <c r="G852" i="3"/>
  <c r="F849" i="3"/>
  <c r="G844" i="3"/>
  <c r="F841" i="3"/>
  <c r="G836" i="3"/>
  <c r="F833" i="3"/>
  <c r="G828" i="3"/>
  <c r="F825" i="3"/>
  <c r="G820" i="3"/>
  <c r="F817" i="3"/>
  <c r="G812" i="3"/>
  <c r="F809" i="3"/>
  <c r="G804" i="3"/>
  <c r="F801" i="3"/>
  <c r="G796" i="3"/>
  <c r="F793" i="3"/>
  <c r="G788" i="3"/>
  <c r="F785" i="3"/>
  <c r="G780" i="3"/>
  <c r="F777" i="3"/>
  <c r="G772" i="3"/>
  <c r="F770" i="3"/>
  <c r="E770" i="3"/>
  <c r="F603" i="3"/>
  <c r="E769" i="3"/>
  <c r="F769" i="3"/>
  <c r="F724" i="3"/>
  <c r="F759" i="3"/>
  <c r="F678" i="3"/>
  <c r="F626" i="3"/>
  <c r="F694" i="3"/>
  <c r="F649" i="3"/>
  <c r="G637" i="3"/>
  <c r="G677" i="3"/>
  <c r="F587" i="3"/>
  <c r="E762" i="3"/>
  <c r="G743" i="3"/>
  <c r="E766" i="3"/>
  <c r="F762" i="3"/>
  <c r="G759" i="3"/>
  <c r="F748" i="3"/>
  <c r="F727" i="3"/>
  <c r="E727" i="3"/>
  <c r="F766" i="3"/>
  <c r="G687" i="3"/>
  <c r="E751" i="3"/>
  <c r="E726" i="3"/>
  <c r="G598" i="3"/>
  <c r="F647" i="3"/>
  <c r="G643" i="3"/>
  <c r="G751" i="3"/>
  <c r="G589" i="3"/>
  <c r="G764" i="3"/>
  <c r="E755" i="3"/>
  <c r="E739" i="3"/>
  <c r="G723" i="3"/>
  <c r="G692" i="3"/>
  <c r="F684" i="3"/>
  <c r="F764" i="3"/>
  <c r="E735" i="3"/>
  <c r="G695" i="3"/>
  <c r="G597" i="3"/>
  <c r="G669" i="3"/>
  <c r="G654" i="3"/>
  <c r="G619" i="3"/>
  <c r="F592" i="3"/>
  <c r="F676" i="3"/>
  <c r="F584" i="3"/>
  <c r="F753" i="3"/>
  <c r="F697" i="3"/>
  <c r="G623" i="3"/>
  <c r="G582" i="3"/>
  <c r="F729" i="3"/>
  <c r="E753" i="3"/>
  <c r="E724" i="3"/>
  <c r="G678" i="3"/>
  <c r="G767" i="3"/>
  <c r="F755" i="3"/>
  <c r="F735" i="3"/>
  <c r="F726" i="3"/>
  <c r="F655" i="3"/>
  <c r="F767" i="3"/>
  <c r="G765" i="3"/>
  <c r="F765" i="3"/>
  <c r="E760" i="3"/>
  <c r="G752" i="3"/>
  <c r="F737" i="3"/>
  <c r="F708" i="3"/>
  <c r="G700" i="3"/>
  <c r="F686" i="3"/>
  <c r="G683" i="3"/>
  <c r="E676" i="3"/>
  <c r="G613" i="3"/>
  <c r="F582" i="3"/>
  <c r="E752" i="3"/>
  <c r="G750" i="3"/>
  <c r="E737" i="3"/>
  <c r="G676" i="3"/>
  <c r="F628" i="3"/>
  <c r="F601" i="3"/>
  <c r="G583" i="3"/>
  <c r="G718" i="3"/>
  <c r="F586" i="3"/>
  <c r="F583" i="3"/>
  <c r="G697" i="3"/>
  <c r="G674" i="3"/>
  <c r="F750" i="3"/>
  <c r="E748" i="3"/>
  <c r="F743" i="3"/>
  <c r="F731" i="3"/>
  <c r="E729" i="3"/>
  <c r="G715" i="3"/>
  <c r="G693" i="3"/>
  <c r="F679" i="3"/>
  <c r="F674" i="3"/>
  <c r="G661" i="3"/>
  <c r="G760" i="3"/>
  <c r="E745" i="3"/>
  <c r="F739" i="3"/>
  <c r="E731" i="3"/>
  <c r="F711" i="3"/>
  <c r="G707" i="3"/>
  <c r="F703" i="3"/>
  <c r="G699" i="3"/>
  <c r="G635" i="3"/>
  <c r="F631" i="3"/>
  <c r="G627" i="3"/>
  <c r="G615" i="3"/>
  <c r="F612" i="3"/>
  <c r="F609" i="3"/>
  <c r="G605" i="3"/>
  <c r="G601" i="3"/>
  <c r="G595" i="3"/>
  <c r="F591" i="3"/>
  <c r="G732" i="3"/>
  <c r="G587" i="3"/>
  <c r="G757" i="3"/>
  <c r="F732" i="3"/>
  <c r="G746" i="3"/>
  <c r="F742" i="3"/>
  <c r="F740" i="3"/>
  <c r="G738" i="3"/>
  <c r="G709" i="3"/>
  <c r="G701" i="3"/>
  <c r="F687" i="3"/>
  <c r="G684" i="3"/>
  <c r="F673" i="3"/>
  <c r="G629" i="3"/>
  <c r="G611" i="3"/>
  <c r="F593" i="3"/>
  <c r="F721" i="3"/>
  <c r="F710" i="3"/>
  <c r="F681" i="3"/>
  <c r="F671" i="3"/>
  <c r="G645" i="3"/>
  <c r="G630" i="3"/>
  <c r="G742" i="3"/>
  <c r="G740" i="3"/>
  <c r="G691" i="3"/>
  <c r="G663" i="3"/>
  <c r="G652" i="3"/>
  <c r="F757" i="3"/>
  <c r="E761" i="3"/>
  <c r="E754" i="3"/>
  <c r="F746" i="3"/>
  <c r="F738" i="3"/>
  <c r="G719" i="3"/>
  <c r="F716" i="3"/>
  <c r="G694" i="3"/>
  <c r="E723" i="3"/>
  <c r="F723" i="3"/>
  <c r="F722" i="3"/>
  <c r="G722" i="3"/>
  <c r="F719" i="3"/>
  <c r="F718" i="3"/>
  <c r="E718" i="3"/>
  <c r="E716" i="3"/>
  <c r="G716" i="3"/>
  <c r="F714" i="3"/>
  <c r="G714" i="3"/>
  <c r="F713" i="3"/>
  <c r="E711" i="3"/>
  <c r="G711" i="3"/>
  <c r="E710" i="3"/>
  <c r="G710" i="3"/>
  <c r="E708" i="3"/>
  <c r="G708" i="3"/>
  <c r="E707" i="3"/>
  <c r="F707" i="3"/>
  <c r="G706" i="3"/>
  <c r="F706" i="3"/>
  <c r="G705" i="3"/>
  <c r="F705" i="3"/>
  <c r="E703" i="3"/>
  <c r="G703" i="3"/>
  <c r="F700" i="3"/>
  <c r="E700" i="3"/>
  <c r="E699" i="3"/>
  <c r="F699" i="3"/>
  <c r="E697" i="3"/>
  <c r="F695" i="3"/>
  <c r="E695" i="3"/>
  <c r="F692" i="3"/>
  <c r="E692" i="3"/>
  <c r="F691" i="3"/>
  <c r="E691" i="3"/>
  <c r="G690" i="3"/>
  <c r="F690" i="3"/>
  <c r="F689" i="3"/>
  <c r="E687" i="3"/>
  <c r="G686" i="3"/>
  <c r="E686" i="3"/>
  <c r="F682" i="3"/>
  <c r="G682" i="3"/>
  <c r="E681" i="3"/>
  <c r="G675" i="3"/>
  <c r="E679" i="3"/>
  <c r="F675" i="3"/>
  <c r="G673" i="3"/>
  <c r="G671" i="3"/>
  <c r="E675" i="3"/>
  <c r="G679" i="3"/>
  <c r="F668" i="3"/>
  <c r="G667" i="3"/>
  <c r="E668" i="3"/>
  <c r="G668" i="3"/>
  <c r="F667" i="3"/>
  <c r="F665" i="3"/>
  <c r="G665" i="3"/>
  <c r="F663" i="3"/>
  <c r="E663" i="3"/>
  <c r="F659" i="3"/>
  <c r="F652" i="3"/>
  <c r="G655" i="3"/>
  <c r="E659" i="3"/>
  <c r="G650" i="3"/>
  <c r="G662" i="3"/>
  <c r="F646" i="3"/>
  <c r="F650" i="3"/>
  <c r="G651" i="3"/>
  <c r="G647" i="3"/>
  <c r="G659" i="3"/>
  <c r="F654" i="3"/>
  <c r="F662" i="3"/>
  <c r="F660" i="3"/>
  <c r="G658" i="3"/>
  <c r="E654" i="3"/>
  <c r="E649" i="3"/>
  <c r="E647" i="3"/>
  <c r="G653" i="3"/>
  <c r="G660" i="3"/>
  <c r="E662" i="3"/>
  <c r="F658" i="3"/>
  <c r="G646" i="3"/>
  <c r="E646" i="3"/>
  <c r="F644" i="3"/>
  <c r="G644" i="3"/>
  <c r="F643" i="3"/>
  <c r="E643" i="3"/>
  <c r="F642" i="3"/>
  <c r="G642" i="3"/>
  <c r="G641" i="3"/>
  <c r="F641" i="3"/>
  <c r="G639" i="3"/>
  <c r="F639" i="3"/>
  <c r="G636" i="3"/>
  <c r="F636" i="3"/>
  <c r="E635" i="3"/>
  <c r="F635" i="3"/>
  <c r="G633" i="3"/>
  <c r="F633" i="3"/>
  <c r="E631" i="3"/>
  <c r="G631" i="3"/>
  <c r="E630" i="3"/>
  <c r="F630" i="3"/>
  <c r="G628" i="3"/>
  <c r="E628" i="3"/>
  <c r="E627" i="3"/>
  <c r="F627" i="3"/>
  <c r="G626" i="3"/>
  <c r="F623" i="3"/>
  <c r="E623" i="3"/>
  <c r="F622" i="3"/>
  <c r="G622" i="3"/>
  <c r="F620" i="3"/>
  <c r="G620" i="3"/>
  <c r="G618" i="3"/>
  <c r="F618" i="3"/>
  <c r="F617" i="3"/>
  <c r="F615" i="3"/>
  <c r="G614" i="3"/>
  <c r="F614" i="3"/>
  <c r="E612" i="3"/>
  <c r="G612" i="3"/>
  <c r="F610" i="3"/>
  <c r="G610" i="3"/>
  <c r="E609" i="3"/>
  <c r="G609" i="3"/>
  <c r="G607" i="3"/>
  <c r="F607" i="3"/>
  <c r="G604" i="3"/>
  <c r="F604" i="3"/>
  <c r="G603" i="3"/>
  <c r="G599" i="3"/>
  <c r="F599" i="3"/>
  <c r="E598" i="3"/>
  <c r="F598" i="3"/>
  <c r="G596" i="3"/>
  <c r="F596" i="3"/>
  <c r="E595" i="3"/>
  <c r="F595" i="3"/>
  <c r="F594" i="3"/>
  <c r="G594" i="3"/>
  <c r="E593" i="3"/>
  <c r="G593" i="3"/>
  <c r="E592" i="3"/>
  <c r="E591" i="3"/>
  <c r="G591" i="3"/>
  <c r="G590" i="3"/>
  <c r="F590" i="3"/>
  <c r="F588" i="3"/>
  <c r="G588" i="3"/>
  <c r="E587" i="3"/>
  <c r="G586" i="3"/>
  <c r="F585" i="3"/>
  <c r="G585" i="3"/>
  <c r="E585" i="3"/>
  <c r="E584" i="3"/>
  <c r="E685" i="3"/>
  <c r="F685" i="3"/>
  <c r="F664" i="3"/>
  <c r="G664" i="3"/>
  <c r="E709" i="3"/>
  <c r="F709" i="3"/>
  <c r="E613" i="3"/>
  <c r="F613" i="3"/>
  <c r="F688" i="3"/>
  <c r="G688" i="3"/>
  <c r="F656" i="3"/>
  <c r="G656" i="3"/>
  <c r="G689" i="3"/>
  <c r="G657" i="3"/>
  <c r="E605" i="3"/>
  <c r="F605" i="3"/>
  <c r="F744" i="3"/>
  <c r="G744" i="3"/>
  <c r="G702" i="3"/>
  <c r="F648" i="3"/>
  <c r="G648" i="3"/>
  <c r="G638" i="3"/>
  <c r="F625" i="3"/>
  <c r="F616" i="3"/>
  <c r="G616" i="3"/>
  <c r="G606" i="3"/>
  <c r="E749" i="3"/>
  <c r="F749" i="3"/>
  <c r="E717" i="3"/>
  <c r="F717" i="3"/>
  <c r="E621" i="3"/>
  <c r="F621" i="3"/>
  <c r="F696" i="3"/>
  <c r="G696" i="3"/>
  <c r="F632" i="3"/>
  <c r="G632" i="3"/>
  <c r="E741" i="3"/>
  <c r="F741" i="3"/>
  <c r="E645" i="3"/>
  <c r="F645" i="3"/>
  <c r="F720" i="3"/>
  <c r="G720" i="3"/>
  <c r="F624" i="3"/>
  <c r="G624" i="3"/>
  <c r="G721" i="3"/>
  <c r="E701" i="3"/>
  <c r="F701" i="3"/>
  <c r="E637" i="3"/>
  <c r="F637" i="3"/>
  <c r="G625" i="3"/>
  <c r="G756" i="3"/>
  <c r="F712" i="3"/>
  <c r="G712" i="3"/>
  <c r="F680" i="3"/>
  <c r="G680" i="3"/>
  <c r="G670" i="3"/>
  <c r="F657" i="3"/>
  <c r="E763" i="3"/>
  <c r="E758" i="3"/>
  <c r="F756" i="3"/>
  <c r="G754" i="3"/>
  <c r="G749" i="3"/>
  <c r="F747" i="3"/>
  <c r="G745" i="3"/>
  <c r="F734" i="3"/>
  <c r="G730" i="3"/>
  <c r="E725" i="3"/>
  <c r="F725" i="3"/>
  <c r="E721" i="3"/>
  <c r="G717" i="3"/>
  <c r="F715" i="3"/>
  <c r="G713" i="3"/>
  <c r="F702" i="3"/>
  <c r="G698" i="3"/>
  <c r="E693" i="3"/>
  <c r="F693" i="3"/>
  <c r="E689" i="3"/>
  <c r="G685" i="3"/>
  <c r="F683" i="3"/>
  <c r="G681" i="3"/>
  <c r="F670" i="3"/>
  <c r="G666" i="3"/>
  <c r="E661" i="3"/>
  <c r="F661" i="3"/>
  <c r="F651" i="3"/>
  <c r="G649" i="3"/>
  <c r="F638" i="3"/>
  <c r="G634" i="3"/>
  <c r="E629" i="3"/>
  <c r="F629" i="3"/>
  <c r="G621" i="3"/>
  <c r="F619" i="3"/>
  <c r="G617" i="3"/>
  <c r="F606" i="3"/>
  <c r="G602" i="3"/>
  <c r="E597" i="3"/>
  <c r="F597" i="3"/>
  <c r="E589" i="3"/>
  <c r="F589" i="3"/>
  <c r="E653" i="3"/>
  <c r="F653" i="3"/>
  <c r="F728" i="3"/>
  <c r="G728" i="3"/>
  <c r="F600" i="3"/>
  <c r="G600" i="3"/>
  <c r="E677" i="3"/>
  <c r="F677" i="3"/>
  <c r="G758" i="3"/>
  <c r="E733" i="3"/>
  <c r="F733" i="3"/>
  <c r="E669" i="3"/>
  <c r="F669" i="3"/>
  <c r="F763" i="3"/>
  <c r="G734" i="3"/>
  <c r="G768" i="3"/>
  <c r="G761" i="3"/>
  <c r="E768" i="3"/>
  <c r="E747" i="3"/>
  <c r="F736" i="3"/>
  <c r="G736" i="3"/>
  <c r="F730" i="3"/>
  <c r="E728" i="3"/>
  <c r="E715" i="3"/>
  <c r="F704" i="3"/>
  <c r="G704" i="3"/>
  <c r="F698" i="3"/>
  <c r="E696" i="3"/>
  <c r="E683" i="3"/>
  <c r="F672" i="3"/>
  <c r="G672" i="3"/>
  <c r="F666" i="3"/>
  <c r="E664" i="3"/>
  <c r="E651" i="3"/>
  <c r="F640" i="3"/>
  <c r="G640" i="3"/>
  <c r="F634" i="3"/>
  <c r="E632" i="3"/>
  <c r="E619" i="3"/>
  <c r="F608" i="3"/>
  <c r="G608" i="3"/>
  <c r="F602" i="3"/>
  <c r="E600" i="3"/>
  <c r="G592" i="3"/>
  <c r="G584" i="3"/>
  <c r="H9" i="4"/>
  <c r="H8" i="4" a="1"/>
  <c r="H8" i="4" s="1"/>
  <c r="C558" i="3"/>
  <c r="E558" i="3" s="1"/>
  <c r="C546" i="3"/>
  <c r="E546" i="3" s="1"/>
  <c r="C502" i="3"/>
  <c r="E502" i="3" s="1"/>
  <c r="E580" i="3"/>
  <c r="F580" i="3"/>
  <c r="G580" i="3"/>
  <c r="E581" i="3"/>
  <c r="F581" i="3"/>
  <c r="G581" i="3"/>
  <c r="D502" i="3"/>
  <c r="C503" i="3"/>
  <c r="E503" i="3" s="1"/>
  <c r="D503" i="3"/>
  <c r="C504" i="3"/>
  <c r="E504" i="3" s="1"/>
  <c r="D504" i="3"/>
  <c r="C505" i="3"/>
  <c r="E505" i="3" s="1"/>
  <c r="D505" i="3"/>
  <c r="C506" i="3"/>
  <c r="E506" i="3" s="1"/>
  <c r="D506" i="3"/>
  <c r="C507" i="3"/>
  <c r="E507" i="3" s="1"/>
  <c r="D507" i="3"/>
  <c r="C508" i="3"/>
  <c r="E508" i="3" s="1"/>
  <c r="D508" i="3"/>
  <c r="C509" i="3"/>
  <c r="E509" i="3" s="1"/>
  <c r="D509" i="3"/>
  <c r="C510" i="3"/>
  <c r="D510" i="3"/>
  <c r="C511" i="3"/>
  <c r="E511" i="3" s="1"/>
  <c r="D511" i="3"/>
  <c r="C512" i="3"/>
  <c r="D512" i="3"/>
  <c r="C513" i="3"/>
  <c r="E513" i="3" s="1"/>
  <c r="D513" i="3"/>
  <c r="C514" i="3"/>
  <c r="E514" i="3" s="1"/>
  <c r="D514" i="3"/>
  <c r="C515" i="3"/>
  <c r="D515" i="3"/>
  <c r="C516" i="3"/>
  <c r="E516" i="3" s="1"/>
  <c r="D516" i="3"/>
  <c r="C517" i="3"/>
  <c r="E517" i="3" s="1"/>
  <c r="D517" i="3"/>
  <c r="C518" i="3"/>
  <c r="D518" i="3"/>
  <c r="C519" i="3"/>
  <c r="E519" i="3" s="1"/>
  <c r="D519" i="3"/>
  <c r="C520" i="3"/>
  <c r="E520" i="3" s="1"/>
  <c r="D520" i="3"/>
  <c r="C521" i="3"/>
  <c r="E521" i="3" s="1"/>
  <c r="D521" i="3"/>
  <c r="C522" i="3"/>
  <c r="E522" i="3" s="1"/>
  <c r="D522" i="3"/>
  <c r="C523" i="3"/>
  <c r="D523" i="3"/>
  <c r="C524" i="3"/>
  <c r="E524" i="3" s="1"/>
  <c r="D524" i="3"/>
  <c r="C525" i="3"/>
  <c r="E525" i="3" s="1"/>
  <c r="D525" i="3"/>
  <c r="C526" i="3"/>
  <c r="E526" i="3" s="1"/>
  <c r="D526" i="3"/>
  <c r="C527" i="3"/>
  <c r="E527" i="3" s="1"/>
  <c r="D527" i="3"/>
  <c r="C528" i="3"/>
  <c r="D528" i="3"/>
  <c r="C529" i="3"/>
  <c r="D529" i="3"/>
  <c r="C530" i="3"/>
  <c r="D530" i="3"/>
  <c r="C531" i="3"/>
  <c r="D531" i="3"/>
  <c r="C532" i="3"/>
  <c r="E532" i="3" s="1"/>
  <c r="D532" i="3"/>
  <c r="C533" i="3"/>
  <c r="E533" i="3" s="1"/>
  <c r="D533" i="3"/>
  <c r="C534" i="3"/>
  <c r="E534" i="3" s="1"/>
  <c r="D534" i="3"/>
  <c r="C535" i="3"/>
  <c r="E535" i="3" s="1"/>
  <c r="D535" i="3"/>
  <c r="C536" i="3"/>
  <c r="E536" i="3" s="1"/>
  <c r="D536" i="3"/>
  <c r="C537" i="3"/>
  <c r="E537" i="3" s="1"/>
  <c r="D537" i="3"/>
  <c r="C538" i="3"/>
  <c r="E538" i="3" s="1"/>
  <c r="D538" i="3"/>
  <c r="C539" i="3"/>
  <c r="E539" i="3" s="1"/>
  <c r="D539" i="3"/>
  <c r="C540" i="3"/>
  <c r="E540" i="3" s="1"/>
  <c r="D540" i="3"/>
  <c r="C541" i="3"/>
  <c r="E541" i="3" s="1"/>
  <c r="D541" i="3"/>
  <c r="C542" i="3"/>
  <c r="E542" i="3" s="1"/>
  <c r="D542" i="3"/>
  <c r="C543" i="3"/>
  <c r="E543" i="3" s="1"/>
  <c r="D543" i="3"/>
  <c r="C544" i="3"/>
  <c r="E544" i="3" s="1"/>
  <c r="D544" i="3"/>
  <c r="C545" i="3"/>
  <c r="E545" i="3" s="1"/>
  <c r="D545" i="3"/>
  <c r="D546" i="3"/>
  <c r="C547" i="3"/>
  <c r="E547" i="3" s="1"/>
  <c r="D547" i="3"/>
  <c r="C548" i="3"/>
  <c r="E548" i="3" s="1"/>
  <c r="D548" i="3"/>
  <c r="C549" i="3"/>
  <c r="E549" i="3" s="1"/>
  <c r="D549" i="3"/>
  <c r="C550" i="3"/>
  <c r="E550" i="3" s="1"/>
  <c r="D550" i="3"/>
  <c r="C551" i="3"/>
  <c r="D551" i="3"/>
  <c r="C552" i="3"/>
  <c r="E552" i="3" s="1"/>
  <c r="D552" i="3"/>
  <c r="C455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D579" i="3"/>
  <c r="C579" i="3"/>
  <c r="E579" i="3" s="1"/>
  <c r="D578" i="3"/>
  <c r="C578" i="3"/>
  <c r="E578" i="3" s="1"/>
  <c r="D577" i="3"/>
  <c r="C577" i="3"/>
  <c r="E577" i="3" s="1"/>
  <c r="D576" i="3"/>
  <c r="C576" i="3"/>
  <c r="E576" i="3" s="1"/>
  <c r="D575" i="3"/>
  <c r="C575" i="3"/>
  <c r="D574" i="3"/>
  <c r="C574" i="3"/>
  <c r="E574" i="3" s="1"/>
  <c r="D573" i="3"/>
  <c r="C573" i="3"/>
  <c r="E573" i="3" s="1"/>
  <c r="D572" i="3"/>
  <c r="C572" i="3"/>
  <c r="G572" i="3" s="1"/>
  <c r="D571" i="3"/>
  <c r="C571" i="3"/>
  <c r="E571" i="3" s="1"/>
  <c r="D570" i="3"/>
  <c r="C570" i="3"/>
  <c r="E570" i="3" s="1"/>
  <c r="D569" i="3"/>
  <c r="C569" i="3"/>
  <c r="E569" i="3" s="1"/>
  <c r="D568" i="3"/>
  <c r="C568" i="3"/>
  <c r="E568" i="3" s="1"/>
  <c r="D567" i="3"/>
  <c r="C567" i="3"/>
  <c r="D566" i="3"/>
  <c r="C566" i="3"/>
  <c r="E566" i="3" s="1"/>
  <c r="D565" i="3"/>
  <c r="C565" i="3"/>
  <c r="E565" i="3" s="1"/>
  <c r="D564" i="3"/>
  <c r="C564" i="3"/>
  <c r="D563" i="3"/>
  <c r="C563" i="3"/>
  <c r="E563" i="3" s="1"/>
  <c r="D562" i="3"/>
  <c r="C562" i="3"/>
  <c r="E562" i="3" s="1"/>
  <c r="D561" i="3"/>
  <c r="C561" i="3"/>
  <c r="E561" i="3" s="1"/>
  <c r="D560" i="3"/>
  <c r="C560" i="3"/>
  <c r="E560" i="3" s="1"/>
  <c r="D559" i="3"/>
  <c r="C559" i="3"/>
  <c r="D558" i="3"/>
  <c r="D557" i="3"/>
  <c r="C557" i="3"/>
  <c r="E557" i="3" s="1"/>
  <c r="D556" i="3"/>
  <c r="C556" i="3"/>
  <c r="D555" i="3"/>
  <c r="C555" i="3"/>
  <c r="E555" i="3" s="1"/>
  <c r="C554" i="3"/>
  <c r="E554" i="3" s="1"/>
  <c r="D554" i="3"/>
  <c r="D553" i="3"/>
  <c r="C553" i="3"/>
  <c r="E553" i="3" s="1"/>
  <c r="C448" i="3"/>
  <c r="C444" i="3"/>
  <c r="C434" i="3"/>
  <c r="C435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D447" i="3"/>
  <c r="C447" i="3"/>
  <c r="D446" i="3"/>
  <c r="C446" i="3"/>
  <c r="D445" i="3"/>
  <c r="C445" i="3"/>
  <c r="D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D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C402" i="3"/>
  <c r="D401" i="3"/>
  <c r="C401" i="3"/>
  <c r="D400" i="3"/>
  <c r="C400" i="3"/>
  <c r="D399" i="3"/>
  <c r="C399" i="3"/>
  <c r="D398" i="3"/>
  <c r="C398" i="3"/>
  <c r="D397" i="3"/>
  <c r="C397" i="3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B26" i="12"/>
  <c r="F575" i="3" l="1"/>
  <c r="F567" i="3"/>
  <c r="G564" i="3"/>
  <c r="Z39" i="12"/>
  <c r="Y32" i="12"/>
  <c r="Z38" i="12"/>
  <c r="Y39" i="12"/>
  <c r="Z37" i="12"/>
  <c r="Z36" i="12"/>
  <c r="Y38" i="12"/>
  <c r="Y30" i="12"/>
  <c r="Z35" i="12"/>
  <c r="Y37" i="12"/>
  <c r="Z34" i="12"/>
  <c r="Y36" i="12"/>
  <c r="Y34" i="12"/>
  <c r="Y33" i="12"/>
  <c r="Z33" i="12"/>
  <c r="Y35" i="12"/>
  <c r="Z31" i="12"/>
  <c r="Z30" i="12"/>
  <c r="Y31" i="12"/>
  <c r="Z32" i="12"/>
  <c r="E9" i="4"/>
  <c r="F530" i="3"/>
  <c r="AC31" i="12"/>
  <c r="AC39" i="12"/>
  <c r="AC35" i="12"/>
  <c r="AC36" i="12"/>
  <c r="AC33" i="12"/>
  <c r="AC30" i="12"/>
  <c r="AC38" i="12"/>
  <c r="E8" i="4" a="1"/>
  <c r="E8" i="4" s="1"/>
  <c r="AB32" i="12" a="1"/>
  <c r="AB32" i="12" s="1"/>
  <c r="D9" i="4"/>
  <c r="AC37" i="12"/>
  <c r="F9" i="4"/>
  <c r="D9" i="12"/>
  <c r="AC34" i="12"/>
  <c r="AB33" i="12" a="1"/>
  <c r="AB33" i="12" s="1"/>
  <c r="AB36" i="12" a="1"/>
  <c r="AB36" i="12" s="1"/>
  <c r="F8" i="4" a="1"/>
  <c r="F8" i="4" s="1"/>
  <c r="AB34" i="12" a="1"/>
  <c r="AB34" i="12" s="1"/>
  <c r="AC32" i="12"/>
  <c r="G8" i="4" a="1"/>
  <c r="G8" i="4" s="1"/>
  <c r="AB35" i="12" a="1"/>
  <c r="AB35" i="12" s="1"/>
  <c r="G9" i="4"/>
  <c r="D8" i="12" a="1"/>
  <c r="D8" i="12" s="1"/>
  <c r="AB37" i="12" a="1"/>
  <c r="AB37" i="12" s="1"/>
  <c r="AB30" i="12" a="1"/>
  <c r="AB30" i="12" s="1"/>
  <c r="AB38" i="12" a="1"/>
  <c r="AB38" i="12" s="1"/>
  <c r="AB31" i="12" a="1"/>
  <c r="AB31" i="12" s="1"/>
  <c r="AB39" i="12" a="1"/>
  <c r="AB39" i="12" s="1"/>
  <c r="D8" i="4" a="1"/>
  <c r="D8" i="4" s="1"/>
  <c r="F502" i="3"/>
  <c r="F559" i="3"/>
  <c r="G556" i="3"/>
  <c r="F528" i="3"/>
  <c r="F512" i="3"/>
  <c r="F551" i="3"/>
  <c r="G568" i="3"/>
  <c r="G550" i="3"/>
  <c r="F529" i="3"/>
  <c r="F550" i="3"/>
  <c r="E528" i="3"/>
  <c r="F531" i="3"/>
  <c r="F523" i="3"/>
  <c r="G515" i="3"/>
  <c r="G576" i="3"/>
  <c r="E512" i="3"/>
  <c r="F576" i="3"/>
  <c r="F518" i="3"/>
  <c r="F510" i="3"/>
  <c r="E572" i="3"/>
  <c r="G577" i="3"/>
  <c r="E575" i="3"/>
  <c r="F572" i="3"/>
  <c r="G569" i="3"/>
  <c r="E567" i="3"/>
  <c r="F564" i="3"/>
  <c r="G561" i="3"/>
  <c r="E559" i="3"/>
  <c r="F556" i="3"/>
  <c r="G554" i="3"/>
  <c r="E551" i="3"/>
  <c r="G528" i="3"/>
  <c r="F515" i="3"/>
  <c r="F527" i="3"/>
  <c r="F577" i="3"/>
  <c r="G574" i="3"/>
  <c r="F569" i="3"/>
  <c r="G566" i="3"/>
  <c r="E564" i="3"/>
  <c r="F561" i="3"/>
  <c r="G558" i="3"/>
  <c r="E556" i="3"/>
  <c r="F554" i="3"/>
  <c r="F514" i="3"/>
  <c r="G579" i="3"/>
  <c r="F574" i="3"/>
  <c r="G571" i="3"/>
  <c r="F566" i="3"/>
  <c r="G563" i="3"/>
  <c r="F558" i="3"/>
  <c r="G514" i="3"/>
  <c r="F579" i="3"/>
  <c r="F571" i="3"/>
  <c r="F563" i="3"/>
  <c r="G560" i="3"/>
  <c r="G553" i="3"/>
  <c r="G552" i="3"/>
  <c r="G526" i="3"/>
  <c r="G573" i="3"/>
  <c r="F568" i="3"/>
  <c r="G565" i="3"/>
  <c r="F560" i="3"/>
  <c r="G557" i="3"/>
  <c r="F553" i="3"/>
  <c r="F552" i="3"/>
  <c r="F526" i="3"/>
  <c r="G511" i="3"/>
  <c r="F545" i="3"/>
  <c r="G578" i="3"/>
  <c r="F573" i="3"/>
  <c r="G570" i="3"/>
  <c r="F565" i="3"/>
  <c r="G562" i="3"/>
  <c r="F557" i="3"/>
  <c r="G555" i="3"/>
  <c r="G543" i="3"/>
  <c r="G525" i="3"/>
  <c r="F511" i="3"/>
  <c r="F578" i="3"/>
  <c r="G575" i="3"/>
  <c r="F570" i="3"/>
  <c r="G567" i="3"/>
  <c r="F562" i="3"/>
  <c r="G559" i="3"/>
  <c r="F555" i="3"/>
  <c r="G551" i="3"/>
  <c r="G542" i="3"/>
  <c r="E523" i="3"/>
  <c r="G524" i="3"/>
  <c r="G516" i="3"/>
  <c r="G512" i="3"/>
  <c r="E531" i="3"/>
  <c r="E518" i="3"/>
  <c r="G549" i="3"/>
  <c r="F549" i="3"/>
  <c r="G548" i="3"/>
  <c r="F548" i="3"/>
  <c r="G547" i="3"/>
  <c r="F547" i="3"/>
  <c r="F546" i="3"/>
  <c r="G546" i="3"/>
  <c r="G545" i="3"/>
  <c r="G544" i="3"/>
  <c r="F544" i="3"/>
  <c r="F543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E530" i="3"/>
  <c r="G530" i="3"/>
  <c r="E529" i="3"/>
  <c r="G529" i="3"/>
  <c r="G527" i="3"/>
  <c r="F525" i="3"/>
  <c r="F524" i="3"/>
  <c r="G523" i="3"/>
  <c r="G522" i="3"/>
  <c r="F522" i="3"/>
  <c r="G521" i="3"/>
  <c r="F521" i="3"/>
  <c r="G520" i="3"/>
  <c r="F520" i="3"/>
  <c r="G519" i="3"/>
  <c r="F519" i="3"/>
  <c r="E510" i="3"/>
  <c r="G517" i="3"/>
  <c r="E515" i="3"/>
  <c r="G509" i="3"/>
  <c r="F517" i="3"/>
  <c r="F509" i="3"/>
  <c r="G508" i="3"/>
  <c r="F516" i="3"/>
  <c r="G513" i="3"/>
  <c r="F508" i="3"/>
  <c r="G518" i="3"/>
  <c r="F513" i="3"/>
  <c r="G510" i="3"/>
  <c r="G507" i="3"/>
  <c r="F507" i="3"/>
  <c r="G506" i="3"/>
  <c r="F506" i="3"/>
  <c r="G505" i="3"/>
  <c r="F505" i="3"/>
  <c r="G504" i="3"/>
  <c r="F504" i="3"/>
  <c r="G503" i="3"/>
  <c r="F503" i="3"/>
  <c r="G502" i="3"/>
  <c r="D12" i="12"/>
  <c r="D15" i="12"/>
  <c r="R39" i="12"/>
  <c r="R31" i="12"/>
  <c r="D16" i="12"/>
  <c r="D6" i="12"/>
  <c r="R35" i="12"/>
  <c r="AE40" i="12"/>
  <c r="D10" i="12"/>
  <c r="W33" i="12"/>
  <c r="D2" i="12"/>
  <c r="D3" i="12"/>
  <c r="U34" i="12"/>
  <c r="U38" i="12"/>
  <c r="D13" i="12"/>
  <c r="W37" i="12"/>
  <c r="Q26" i="12"/>
  <c r="U30" i="12"/>
  <c r="D4" i="12"/>
  <c r="D5" i="12"/>
  <c r="D14" i="12"/>
  <c r="D7" i="12"/>
  <c r="R26" i="12"/>
  <c r="L30" i="12"/>
  <c r="V30" i="12"/>
  <c r="I31" i="12"/>
  <c r="S31" i="12"/>
  <c r="E32" i="12"/>
  <c r="Q32" i="12"/>
  <c r="AE32" i="12"/>
  <c r="N33" i="12"/>
  <c r="L34" i="12"/>
  <c r="V34" i="12"/>
  <c r="I35" i="12"/>
  <c r="S35" i="12"/>
  <c r="E36" i="12"/>
  <c r="Q36" i="12"/>
  <c r="AE36" i="12"/>
  <c r="N37" i="12"/>
  <c r="L38" i="12"/>
  <c r="V38" i="12"/>
  <c r="I39" i="12"/>
  <c r="S39" i="12"/>
  <c r="S26" i="12"/>
  <c r="M30" i="12"/>
  <c r="W30" i="12"/>
  <c r="J31" i="12"/>
  <c r="U31" i="12"/>
  <c r="F32" i="12"/>
  <c r="R32" i="12"/>
  <c r="D33" i="12"/>
  <c r="O33" i="12"/>
  <c r="M34" i="12"/>
  <c r="W34" i="12"/>
  <c r="J35" i="12"/>
  <c r="U35" i="12"/>
  <c r="F36" i="12"/>
  <c r="R36" i="12"/>
  <c r="D37" i="12"/>
  <c r="O37" i="12"/>
  <c r="M38" i="12"/>
  <c r="W38" i="12"/>
  <c r="J39" i="12"/>
  <c r="U39" i="12"/>
  <c r="AE26" i="12"/>
  <c r="N30" i="12"/>
  <c r="L31" i="12"/>
  <c r="V31" i="12"/>
  <c r="I32" i="12"/>
  <c r="S32" i="12"/>
  <c r="E33" i="12"/>
  <c r="Q33" i="12"/>
  <c r="AE33" i="12"/>
  <c r="N34" i="12"/>
  <c r="L35" i="12"/>
  <c r="V35" i="12"/>
  <c r="I36" i="12"/>
  <c r="S36" i="12"/>
  <c r="E37" i="12"/>
  <c r="Q37" i="12"/>
  <c r="AE37" i="12"/>
  <c r="N38" i="12"/>
  <c r="L39" i="12"/>
  <c r="V39" i="12"/>
  <c r="D30" i="12"/>
  <c r="O30" i="12"/>
  <c r="M31" i="12"/>
  <c r="W31" i="12"/>
  <c r="J32" i="12"/>
  <c r="U32" i="12"/>
  <c r="F33" i="12"/>
  <c r="R33" i="12"/>
  <c r="D34" i="12"/>
  <c r="O34" i="12"/>
  <c r="M35" i="12"/>
  <c r="W35" i="12"/>
  <c r="J36" i="12"/>
  <c r="U36" i="12"/>
  <c r="F37" i="12"/>
  <c r="R37" i="12"/>
  <c r="D38" i="12"/>
  <c r="O38" i="12"/>
  <c r="M39" i="12"/>
  <c r="W39" i="12"/>
  <c r="D26" i="12"/>
  <c r="E30" i="12"/>
  <c r="Q30" i="12"/>
  <c r="AE30" i="12"/>
  <c r="N31" i="12"/>
  <c r="L32" i="12"/>
  <c r="V32" i="12"/>
  <c r="I33" i="12"/>
  <c r="S33" i="12"/>
  <c r="E34" i="12"/>
  <c r="Q34" i="12"/>
  <c r="AE34" i="12"/>
  <c r="N35" i="12"/>
  <c r="L36" i="12"/>
  <c r="V36" i="12"/>
  <c r="I37" i="12"/>
  <c r="S37" i="12"/>
  <c r="E38" i="12"/>
  <c r="Q38" i="12"/>
  <c r="AE38" i="12"/>
  <c r="N39" i="12"/>
  <c r="E26" i="12"/>
  <c r="F30" i="12"/>
  <c r="R30" i="12"/>
  <c r="D31" i="12"/>
  <c r="O31" i="12"/>
  <c r="M32" i="12"/>
  <c r="W32" i="12"/>
  <c r="J33" i="12"/>
  <c r="U33" i="12"/>
  <c r="F34" i="12"/>
  <c r="R34" i="12"/>
  <c r="D35" i="12"/>
  <c r="O35" i="12"/>
  <c r="M36" i="12"/>
  <c r="W36" i="12"/>
  <c r="J37" i="12"/>
  <c r="U37" i="12"/>
  <c r="F38" i="12"/>
  <c r="R38" i="12"/>
  <c r="D39" i="12"/>
  <c r="O39" i="12"/>
  <c r="F26" i="12"/>
  <c r="I30" i="12"/>
  <c r="S30" i="12"/>
  <c r="E31" i="12"/>
  <c r="Q31" i="12"/>
  <c r="AE31" i="12"/>
  <c r="N32" i="12"/>
  <c r="L33" i="12"/>
  <c r="V33" i="12"/>
  <c r="I34" i="12"/>
  <c r="S34" i="12"/>
  <c r="E35" i="12"/>
  <c r="Q35" i="12"/>
  <c r="AE35" i="12"/>
  <c r="N36" i="12"/>
  <c r="L37" i="12"/>
  <c r="V37" i="12"/>
  <c r="I38" i="12"/>
  <c r="S38" i="12"/>
  <c r="E39" i="12"/>
  <c r="Q39" i="12"/>
  <c r="AE39" i="12"/>
  <c r="J30" i="12"/>
  <c r="F31" i="12"/>
  <c r="D32" i="12"/>
  <c r="O32" i="12"/>
  <c r="M33" i="12"/>
  <c r="J34" i="12"/>
  <c r="F35" i="12"/>
  <c r="D36" i="12"/>
  <c r="O36" i="12"/>
  <c r="M37" i="12"/>
  <c r="J38" i="12"/>
  <c r="F39" i="12"/>
  <c r="H16" i="4"/>
  <c r="G16" i="4"/>
  <c r="F16" i="4"/>
  <c r="E16" i="4"/>
  <c r="D16" i="4"/>
  <c r="H10" i="4"/>
  <c r="G10" i="4"/>
  <c r="F10" i="4"/>
  <c r="E10" i="4"/>
  <c r="D10" i="4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7" i="4"/>
  <c r="G7" i="4"/>
  <c r="F7" i="4"/>
  <c r="E7" i="4"/>
  <c r="D7" i="4"/>
  <c r="H6" i="4"/>
  <c r="G6" i="4"/>
  <c r="F6" i="4"/>
  <c r="E6" i="4"/>
  <c r="D6" i="4"/>
  <c r="H5" i="4"/>
  <c r="G5" i="4"/>
  <c r="F5" i="4"/>
  <c r="E5" i="4"/>
  <c r="D5" i="4"/>
  <c r="H4" i="4"/>
  <c r="G4" i="4"/>
  <c r="F4" i="4"/>
  <c r="E4" i="4"/>
  <c r="D4" i="4"/>
  <c r="H3" i="4"/>
  <c r="G3" i="4"/>
  <c r="F3" i="4"/>
  <c r="E3" i="4"/>
  <c r="D3" i="4"/>
  <c r="H12" i="4"/>
  <c r="G12" i="4"/>
  <c r="F12" i="4"/>
  <c r="E12" i="4"/>
  <c r="D12" i="4"/>
  <c r="H2" i="4"/>
  <c r="G2" i="4"/>
  <c r="F2" i="4"/>
  <c r="E2" i="4"/>
  <c r="D2" i="4"/>
  <c r="B26" i="4"/>
  <c r="F26" i="4" s="1"/>
  <c r="E493" i="3"/>
  <c r="F493" i="3"/>
  <c r="G493" i="3"/>
  <c r="E494" i="3"/>
  <c r="F494" i="3"/>
  <c r="G494" i="3"/>
  <c r="E495" i="3"/>
  <c r="F495" i="3"/>
  <c r="G495" i="3"/>
  <c r="E496" i="3"/>
  <c r="F496" i="3"/>
  <c r="G496" i="3"/>
  <c r="E497" i="3"/>
  <c r="F497" i="3"/>
  <c r="G497" i="3"/>
  <c r="E498" i="3"/>
  <c r="F498" i="3"/>
  <c r="G498" i="3"/>
  <c r="E499" i="3"/>
  <c r="F499" i="3"/>
  <c r="G499" i="3"/>
  <c r="E500" i="3"/>
  <c r="F500" i="3"/>
  <c r="G500" i="3"/>
  <c r="E501" i="3"/>
  <c r="F501" i="3"/>
  <c r="G501" i="3"/>
  <c r="E314" i="3"/>
  <c r="F314" i="3"/>
  <c r="G314" i="3"/>
  <c r="E196" i="3"/>
  <c r="F196" i="3"/>
  <c r="G196" i="3"/>
  <c r="E195" i="3"/>
  <c r="F195" i="3"/>
  <c r="G195" i="3"/>
  <c r="E312" i="3"/>
  <c r="F312" i="3"/>
  <c r="G312" i="3"/>
  <c r="E304" i="3"/>
  <c r="F304" i="3"/>
  <c r="G304" i="3"/>
  <c r="E257" i="3"/>
  <c r="F257" i="3"/>
  <c r="G257" i="3"/>
  <c r="E237" i="3"/>
  <c r="F237" i="3"/>
  <c r="G237" i="3"/>
  <c r="E191" i="3"/>
  <c r="F191" i="3"/>
  <c r="G191" i="3"/>
  <c r="E329" i="3"/>
  <c r="F329" i="3"/>
  <c r="G329" i="3"/>
  <c r="E330" i="3"/>
  <c r="F330" i="3"/>
  <c r="G330" i="3"/>
  <c r="E146" i="3"/>
  <c r="F146" i="3"/>
  <c r="G146" i="3"/>
  <c r="E138" i="3"/>
  <c r="F138" i="3"/>
  <c r="G138" i="3"/>
  <c r="E139" i="3"/>
  <c r="F139" i="3"/>
  <c r="G139" i="3"/>
  <c r="E140" i="3"/>
  <c r="F140" i="3"/>
  <c r="G140" i="3"/>
  <c r="E141" i="3"/>
  <c r="F141" i="3"/>
  <c r="G141" i="3"/>
  <c r="E142" i="3"/>
  <c r="F142" i="3"/>
  <c r="G142" i="3"/>
  <c r="E143" i="3"/>
  <c r="F143" i="3"/>
  <c r="G143" i="3"/>
  <c r="E144" i="3"/>
  <c r="F144" i="3"/>
  <c r="G144" i="3"/>
  <c r="E145" i="3"/>
  <c r="F145" i="3"/>
  <c r="G145" i="3"/>
  <c r="E285" i="3"/>
  <c r="F285" i="3"/>
  <c r="G285" i="3"/>
  <c r="E265" i="3"/>
  <c r="F265" i="3"/>
  <c r="G265" i="3"/>
  <c r="E266" i="3"/>
  <c r="F266" i="3"/>
  <c r="G266" i="3"/>
  <c r="E267" i="3"/>
  <c r="F267" i="3"/>
  <c r="G267" i="3"/>
  <c r="E268" i="3"/>
  <c r="F268" i="3"/>
  <c r="G268" i="3"/>
  <c r="E269" i="3"/>
  <c r="F269" i="3"/>
  <c r="G269" i="3"/>
  <c r="E270" i="3"/>
  <c r="F270" i="3"/>
  <c r="G270" i="3"/>
  <c r="E271" i="3"/>
  <c r="F271" i="3"/>
  <c r="G271" i="3"/>
  <c r="E147" i="3"/>
  <c r="F147" i="3"/>
  <c r="G147" i="3"/>
  <c r="E335" i="3"/>
  <c r="F335" i="3"/>
  <c r="G335" i="3"/>
  <c r="E331" i="3"/>
  <c r="F331" i="3"/>
  <c r="G331" i="3"/>
  <c r="E332" i="3"/>
  <c r="F332" i="3"/>
  <c r="G332" i="3"/>
  <c r="E333" i="3"/>
  <c r="F333" i="3"/>
  <c r="G333" i="3"/>
  <c r="E174" i="3"/>
  <c r="F174" i="3"/>
  <c r="G174" i="3"/>
  <c r="E175" i="3"/>
  <c r="F175" i="3"/>
  <c r="G175" i="3"/>
  <c r="E114" i="3"/>
  <c r="F114" i="3"/>
  <c r="G114" i="3"/>
  <c r="E320" i="3"/>
  <c r="F320" i="3"/>
  <c r="G320" i="3"/>
  <c r="E321" i="3"/>
  <c r="F321" i="3"/>
  <c r="G321" i="3"/>
  <c r="E317" i="3"/>
  <c r="F317" i="3"/>
  <c r="G317" i="3"/>
  <c r="E315" i="3"/>
  <c r="F315" i="3"/>
  <c r="G315" i="3"/>
  <c r="E316" i="3"/>
  <c r="F316" i="3"/>
  <c r="G316" i="3"/>
  <c r="E221" i="3"/>
  <c r="F221" i="3"/>
  <c r="G221" i="3"/>
  <c r="E222" i="3"/>
  <c r="F222" i="3"/>
  <c r="G222" i="3"/>
  <c r="E338" i="3"/>
  <c r="F338" i="3"/>
  <c r="G338" i="3"/>
  <c r="E339" i="3"/>
  <c r="F339" i="3"/>
  <c r="G339" i="3"/>
  <c r="E340" i="3"/>
  <c r="F340" i="3"/>
  <c r="G340" i="3"/>
  <c r="E341" i="3"/>
  <c r="F341" i="3"/>
  <c r="G341" i="3"/>
  <c r="E342" i="3"/>
  <c r="F342" i="3"/>
  <c r="G342" i="3"/>
  <c r="E343" i="3"/>
  <c r="F343" i="3"/>
  <c r="G343" i="3"/>
  <c r="E344" i="3"/>
  <c r="F344" i="3"/>
  <c r="G344" i="3"/>
  <c r="E345" i="3"/>
  <c r="F345" i="3"/>
  <c r="G345" i="3"/>
  <c r="E346" i="3"/>
  <c r="F346" i="3"/>
  <c r="G346" i="3"/>
  <c r="E347" i="3"/>
  <c r="F347" i="3"/>
  <c r="G347" i="3"/>
  <c r="E348" i="3"/>
  <c r="F348" i="3"/>
  <c r="G348" i="3"/>
  <c r="E349" i="3"/>
  <c r="F349" i="3"/>
  <c r="G349" i="3"/>
  <c r="E350" i="3"/>
  <c r="F350" i="3"/>
  <c r="G350" i="3"/>
  <c r="E351" i="3"/>
  <c r="F351" i="3"/>
  <c r="G351" i="3"/>
  <c r="E352" i="3"/>
  <c r="F352" i="3"/>
  <c r="G352" i="3"/>
  <c r="E353" i="3"/>
  <c r="F353" i="3"/>
  <c r="G353" i="3"/>
  <c r="E354" i="3"/>
  <c r="F354" i="3"/>
  <c r="G354" i="3"/>
  <c r="E355" i="3"/>
  <c r="F355" i="3"/>
  <c r="G355" i="3"/>
  <c r="E356" i="3"/>
  <c r="F356" i="3"/>
  <c r="G356" i="3"/>
  <c r="E357" i="3"/>
  <c r="F357" i="3"/>
  <c r="G357" i="3"/>
  <c r="E358" i="3"/>
  <c r="F358" i="3"/>
  <c r="G358" i="3"/>
  <c r="E359" i="3"/>
  <c r="F359" i="3"/>
  <c r="G359" i="3"/>
  <c r="E360" i="3"/>
  <c r="F360" i="3"/>
  <c r="G360" i="3"/>
  <c r="E361" i="3"/>
  <c r="F361" i="3"/>
  <c r="G361" i="3"/>
  <c r="E362" i="3"/>
  <c r="F362" i="3"/>
  <c r="G362" i="3"/>
  <c r="E363" i="3"/>
  <c r="F363" i="3"/>
  <c r="G363" i="3"/>
  <c r="E364" i="3"/>
  <c r="F364" i="3"/>
  <c r="G364" i="3"/>
  <c r="E365" i="3"/>
  <c r="F365" i="3"/>
  <c r="G365" i="3"/>
  <c r="E366" i="3"/>
  <c r="F366" i="3"/>
  <c r="G366" i="3"/>
  <c r="E367" i="3"/>
  <c r="F367" i="3"/>
  <c r="G367" i="3"/>
  <c r="E368" i="3"/>
  <c r="F368" i="3"/>
  <c r="G368" i="3"/>
  <c r="E369" i="3"/>
  <c r="F369" i="3"/>
  <c r="G369" i="3"/>
  <c r="E370" i="3"/>
  <c r="F370" i="3"/>
  <c r="G370" i="3"/>
  <c r="E371" i="3"/>
  <c r="F371" i="3"/>
  <c r="G371" i="3"/>
  <c r="E372" i="3"/>
  <c r="F372" i="3"/>
  <c r="G372" i="3"/>
  <c r="E373" i="3"/>
  <c r="F373" i="3"/>
  <c r="G373" i="3"/>
  <c r="E374" i="3"/>
  <c r="F374" i="3"/>
  <c r="G374" i="3"/>
  <c r="E375" i="3"/>
  <c r="F375" i="3"/>
  <c r="G375" i="3"/>
  <c r="E376" i="3"/>
  <c r="F376" i="3"/>
  <c r="G376" i="3"/>
  <c r="E377" i="3"/>
  <c r="F377" i="3"/>
  <c r="G377" i="3"/>
  <c r="E378" i="3"/>
  <c r="F378" i="3"/>
  <c r="G378" i="3"/>
  <c r="E379" i="3"/>
  <c r="F379" i="3"/>
  <c r="G379" i="3"/>
  <c r="E380" i="3"/>
  <c r="F380" i="3"/>
  <c r="G380" i="3"/>
  <c r="E381" i="3"/>
  <c r="F381" i="3"/>
  <c r="G381" i="3"/>
  <c r="E382" i="3"/>
  <c r="F382" i="3"/>
  <c r="G382" i="3"/>
  <c r="E383" i="3"/>
  <c r="F383" i="3"/>
  <c r="G383" i="3"/>
  <c r="E384" i="3"/>
  <c r="F384" i="3"/>
  <c r="G384" i="3"/>
  <c r="E385" i="3"/>
  <c r="F385" i="3"/>
  <c r="G385" i="3"/>
  <c r="E386" i="3"/>
  <c r="F386" i="3"/>
  <c r="G386" i="3"/>
  <c r="E387" i="3"/>
  <c r="F387" i="3"/>
  <c r="G387" i="3"/>
  <c r="E388" i="3"/>
  <c r="F388" i="3"/>
  <c r="G388" i="3"/>
  <c r="E389" i="3"/>
  <c r="F389" i="3"/>
  <c r="G389" i="3"/>
  <c r="E390" i="3"/>
  <c r="F390" i="3"/>
  <c r="G390" i="3"/>
  <c r="E391" i="3"/>
  <c r="F391" i="3"/>
  <c r="G391" i="3"/>
  <c r="E392" i="3"/>
  <c r="F392" i="3"/>
  <c r="G392" i="3"/>
  <c r="E393" i="3"/>
  <c r="F393" i="3"/>
  <c r="G393" i="3"/>
  <c r="E394" i="3"/>
  <c r="F394" i="3"/>
  <c r="G394" i="3"/>
  <c r="E395" i="3"/>
  <c r="F395" i="3"/>
  <c r="G395" i="3"/>
  <c r="E396" i="3"/>
  <c r="F396" i="3"/>
  <c r="G396" i="3"/>
  <c r="E397" i="3"/>
  <c r="F397" i="3"/>
  <c r="G397" i="3"/>
  <c r="E398" i="3"/>
  <c r="F398" i="3"/>
  <c r="G398" i="3"/>
  <c r="E399" i="3"/>
  <c r="F399" i="3"/>
  <c r="G399" i="3"/>
  <c r="E400" i="3"/>
  <c r="F400" i="3"/>
  <c r="G400" i="3"/>
  <c r="E401" i="3"/>
  <c r="F401" i="3"/>
  <c r="G401" i="3"/>
  <c r="E402" i="3"/>
  <c r="F402" i="3"/>
  <c r="G402" i="3"/>
  <c r="E403" i="3"/>
  <c r="F403" i="3"/>
  <c r="G403" i="3"/>
  <c r="E404" i="3"/>
  <c r="F404" i="3"/>
  <c r="G404" i="3"/>
  <c r="E405" i="3"/>
  <c r="F405" i="3"/>
  <c r="G405" i="3"/>
  <c r="E406" i="3"/>
  <c r="F406" i="3"/>
  <c r="G406" i="3"/>
  <c r="E407" i="3"/>
  <c r="F407" i="3"/>
  <c r="G407" i="3"/>
  <c r="E408" i="3"/>
  <c r="F408" i="3"/>
  <c r="G408" i="3"/>
  <c r="E409" i="3"/>
  <c r="F409" i="3"/>
  <c r="G409" i="3"/>
  <c r="E410" i="3"/>
  <c r="F410" i="3"/>
  <c r="G410" i="3"/>
  <c r="E411" i="3"/>
  <c r="F411" i="3"/>
  <c r="G411" i="3"/>
  <c r="E412" i="3"/>
  <c r="F412" i="3"/>
  <c r="G412" i="3"/>
  <c r="E413" i="3"/>
  <c r="F413" i="3"/>
  <c r="G413" i="3"/>
  <c r="E414" i="3"/>
  <c r="F414" i="3"/>
  <c r="G414" i="3"/>
  <c r="E415" i="3"/>
  <c r="F415" i="3"/>
  <c r="G415" i="3"/>
  <c r="E416" i="3"/>
  <c r="F416" i="3"/>
  <c r="G416" i="3"/>
  <c r="E417" i="3"/>
  <c r="F417" i="3"/>
  <c r="G417" i="3"/>
  <c r="E418" i="3"/>
  <c r="F418" i="3"/>
  <c r="G418" i="3"/>
  <c r="E419" i="3"/>
  <c r="F419" i="3"/>
  <c r="G419" i="3"/>
  <c r="E420" i="3"/>
  <c r="F420" i="3"/>
  <c r="G420" i="3"/>
  <c r="E421" i="3"/>
  <c r="F421" i="3"/>
  <c r="G421" i="3"/>
  <c r="E422" i="3"/>
  <c r="F422" i="3"/>
  <c r="G422" i="3"/>
  <c r="E423" i="3"/>
  <c r="F423" i="3"/>
  <c r="G423" i="3"/>
  <c r="E424" i="3"/>
  <c r="F424" i="3"/>
  <c r="G424" i="3"/>
  <c r="E425" i="3"/>
  <c r="F425" i="3"/>
  <c r="G425" i="3"/>
  <c r="E426" i="3"/>
  <c r="F426" i="3"/>
  <c r="G426" i="3"/>
  <c r="E427" i="3"/>
  <c r="F427" i="3"/>
  <c r="G427" i="3"/>
  <c r="E428" i="3"/>
  <c r="F428" i="3"/>
  <c r="G428" i="3"/>
  <c r="E429" i="3"/>
  <c r="F429" i="3"/>
  <c r="G429" i="3"/>
  <c r="E430" i="3"/>
  <c r="F430" i="3"/>
  <c r="G430" i="3"/>
  <c r="E431" i="3"/>
  <c r="F431" i="3"/>
  <c r="G431" i="3"/>
  <c r="E432" i="3"/>
  <c r="F432" i="3"/>
  <c r="G432" i="3"/>
  <c r="E433" i="3"/>
  <c r="F433" i="3"/>
  <c r="G433" i="3"/>
  <c r="E434" i="3"/>
  <c r="F434" i="3"/>
  <c r="G434" i="3"/>
  <c r="E435" i="3"/>
  <c r="F435" i="3"/>
  <c r="G435" i="3"/>
  <c r="E436" i="3"/>
  <c r="F436" i="3"/>
  <c r="G436" i="3"/>
  <c r="E437" i="3"/>
  <c r="F437" i="3"/>
  <c r="G437" i="3"/>
  <c r="E438" i="3"/>
  <c r="F438" i="3"/>
  <c r="G438" i="3"/>
  <c r="E439" i="3"/>
  <c r="F439" i="3"/>
  <c r="G439" i="3"/>
  <c r="E440" i="3"/>
  <c r="F440" i="3"/>
  <c r="G440" i="3"/>
  <c r="E441" i="3"/>
  <c r="F441" i="3"/>
  <c r="G441" i="3"/>
  <c r="E442" i="3"/>
  <c r="F442" i="3"/>
  <c r="G442" i="3"/>
  <c r="E443" i="3"/>
  <c r="F443" i="3"/>
  <c r="G443" i="3"/>
  <c r="E444" i="3"/>
  <c r="F444" i="3"/>
  <c r="G444" i="3"/>
  <c r="E445" i="3"/>
  <c r="F445" i="3"/>
  <c r="G445" i="3"/>
  <c r="E446" i="3"/>
  <c r="F446" i="3"/>
  <c r="G446" i="3"/>
  <c r="E447" i="3"/>
  <c r="F447" i="3"/>
  <c r="G447" i="3"/>
  <c r="E448" i="3"/>
  <c r="F448" i="3"/>
  <c r="G448" i="3"/>
  <c r="E449" i="3"/>
  <c r="F449" i="3"/>
  <c r="G449" i="3"/>
  <c r="E450" i="3"/>
  <c r="F450" i="3"/>
  <c r="G450" i="3"/>
  <c r="E451" i="3"/>
  <c r="F451" i="3"/>
  <c r="G451" i="3"/>
  <c r="E452" i="3"/>
  <c r="F452" i="3"/>
  <c r="G452" i="3"/>
  <c r="E453" i="3"/>
  <c r="F453" i="3"/>
  <c r="G453" i="3"/>
  <c r="E454" i="3"/>
  <c r="F454" i="3"/>
  <c r="G454" i="3"/>
  <c r="E455" i="3"/>
  <c r="F455" i="3"/>
  <c r="G455" i="3"/>
  <c r="E456" i="3"/>
  <c r="F456" i="3"/>
  <c r="G456" i="3"/>
  <c r="E457" i="3"/>
  <c r="F457" i="3"/>
  <c r="G457" i="3"/>
  <c r="E458" i="3"/>
  <c r="F458" i="3"/>
  <c r="G458" i="3"/>
  <c r="E459" i="3"/>
  <c r="F459" i="3"/>
  <c r="G459" i="3"/>
  <c r="E460" i="3"/>
  <c r="F460" i="3"/>
  <c r="G460" i="3"/>
  <c r="E461" i="3"/>
  <c r="F461" i="3"/>
  <c r="G461" i="3"/>
  <c r="E462" i="3"/>
  <c r="F462" i="3"/>
  <c r="G462" i="3"/>
  <c r="E463" i="3"/>
  <c r="F463" i="3"/>
  <c r="G463" i="3"/>
  <c r="E464" i="3"/>
  <c r="F464" i="3"/>
  <c r="G464" i="3"/>
  <c r="E76" i="3"/>
  <c r="F76" i="3"/>
  <c r="G76" i="3"/>
  <c r="E101" i="3"/>
  <c r="E166" i="3"/>
  <c r="G492" i="3"/>
  <c r="F492" i="3"/>
  <c r="E492" i="3"/>
  <c r="G491" i="3"/>
  <c r="F491" i="3"/>
  <c r="E491" i="3"/>
  <c r="G490" i="3"/>
  <c r="F490" i="3"/>
  <c r="E490" i="3"/>
  <c r="G489" i="3"/>
  <c r="F489" i="3"/>
  <c r="E489" i="3"/>
  <c r="G488" i="3"/>
  <c r="F488" i="3"/>
  <c r="E488" i="3"/>
  <c r="G487" i="3"/>
  <c r="F487" i="3"/>
  <c r="E487" i="3"/>
  <c r="G486" i="3"/>
  <c r="F486" i="3"/>
  <c r="E486" i="3"/>
  <c r="G485" i="3"/>
  <c r="F485" i="3"/>
  <c r="E485" i="3"/>
  <c r="G484" i="3"/>
  <c r="F484" i="3"/>
  <c r="E484" i="3"/>
  <c r="G483" i="3"/>
  <c r="F483" i="3"/>
  <c r="E483" i="3"/>
  <c r="G482" i="3"/>
  <c r="F482" i="3"/>
  <c r="E482" i="3"/>
  <c r="G481" i="3"/>
  <c r="F481" i="3"/>
  <c r="E481" i="3"/>
  <c r="G480" i="3"/>
  <c r="F480" i="3"/>
  <c r="E480" i="3"/>
  <c r="G479" i="3"/>
  <c r="F479" i="3"/>
  <c r="E479" i="3"/>
  <c r="G478" i="3"/>
  <c r="F478" i="3"/>
  <c r="E478" i="3"/>
  <c r="G477" i="3"/>
  <c r="F477" i="3"/>
  <c r="E477" i="3"/>
  <c r="G476" i="3"/>
  <c r="F476" i="3"/>
  <c r="E476" i="3"/>
  <c r="G475" i="3"/>
  <c r="F475" i="3"/>
  <c r="E475" i="3"/>
  <c r="G474" i="3"/>
  <c r="F474" i="3"/>
  <c r="E474" i="3"/>
  <c r="G473" i="3"/>
  <c r="F473" i="3"/>
  <c r="E473" i="3"/>
  <c r="G472" i="3"/>
  <c r="F472" i="3"/>
  <c r="E472" i="3"/>
  <c r="G471" i="3"/>
  <c r="F471" i="3"/>
  <c r="E471" i="3"/>
  <c r="G470" i="3"/>
  <c r="F470" i="3"/>
  <c r="E470" i="3"/>
  <c r="G469" i="3"/>
  <c r="F469" i="3"/>
  <c r="E469" i="3"/>
  <c r="G468" i="3"/>
  <c r="F468" i="3"/>
  <c r="E468" i="3"/>
  <c r="G467" i="3"/>
  <c r="F467" i="3"/>
  <c r="E467" i="3"/>
  <c r="G466" i="3"/>
  <c r="F466" i="3"/>
  <c r="E466" i="3"/>
  <c r="G465" i="3"/>
  <c r="F465" i="3"/>
  <c r="E465" i="3"/>
  <c r="G313" i="3"/>
  <c r="F313" i="3"/>
  <c r="E313" i="3"/>
  <c r="G113" i="3"/>
  <c r="F113" i="3"/>
  <c r="E113" i="3"/>
  <c r="G117" i="3"/>
  <c r="F117" i="3"/>
  <c r="E117" i="3"/>
  <c r="G123" i="3"/>
  <c r="F123" i="3"/>
  <c r="E123" i="3"/>
  <c r="G122" i="3"/>
  <c r="F122" i="3"/>
  <c r="E122" i="3"/>
  <c r="G173" i="3"/>
  <c r="F173" i="3"/>
  <c r="E173" i="3"/>
  <c r="G172" i="3"/>
  <c r="F172" i="3"/>
  <c r="E172" i="3"/>
  <c r="G264" i="3"/>
  <c r="F264" i="3"/>
  <c r="E264" i="3"/>
  <c r="G263" i="3"/>
  <c r="F263" i="3"/>
  <c r="E263" i="3"/>
  <c r="G262" i="3"/>
  <c r="F262" i="3"/>
  <c r="E262" i="3"/>
  <c r="G261" i="3"/>
  <c r="F261" i="3"/>
  <c r="E261" i="3"/>
  <c r="G260" i="3"/>
  <c r="F260" i="3"/>
  <c r="E260" i="3"/>
  <c r="G259" i="3"/>
  <c r="F259" i="3"/>
  <c r="E259" i="3"/>
  <c r="G258" i="3"/>
  <c r="F258" i="3"/>
  <c r="E258" i="3"/>
  <c r="G284" i="3"/>
  <c r="F284" i="3"/>
  <c r="E284" i="3"/>
  <c r="G283" i="3"/>
  <c r="F283" i="3"/>
  <c r="E283" i="3"/>
  <c r="G136" i="3"/>
  <c r="F136" i="3"/>
  <c r="E136" i="3"/>
  <c r="G135" i="3"/>
  <c r="F135" i="3"/>
  <c r="E135" i="3"/>
  <c r="G134" i="3"/>
  <c r="F134" i="3"/>
  <c r="E134" i="3"/>
  <c r="G119" i="3"/>
  <c r="F119" i="3"/>
  <c r="E119" i="3"/>
  <c r="G118" i="3"/>
  <c r="F118" i="3"/>
  <c r="E118" i="3"/>
  <c r="G319" i="3"/>
  <c r="F319" i="3"/>
  <c r="E319" i="3"/>
  <c r="G102" i="3"/>
  <c r="F102" i="3"/>
  <c r="E102" i="3"/>
  <c r="G48" i="3"/>
  <c r="F48" i="3"/>
  <c r="E48" i="3"/>
  <c r="G181" i="3"/>
  <c r="F181" i="3"/>
  <c r="E181" i="3"/>
  <c r="G40" i="3"/>
  <c r="F40" i="3"/>
  <c r="E40" i="3"/>
  <c r="G236" i="3"/>
  <c r="F236" i="3"/>
  <c r="E236" i="3"/>
  <c r="G311" i="3"/>
  <c r="F311" i="3"/>
  <c r="E311" i="3"/>
  <c r="G39" i="3"/>
  <c r="F39" i="3"/>
  <c r="E39" i="3"/>
  <c r="G47" i="3"/>
  <c r="F47" i="3"/>
  <c r="E47" i="3"/>
  <c r="G26" i="3"/>
  <c r="F26" i="3"/>
  <c r="E26" i="3"/>
  <c r="G169" i="3"/>
  <c r="F169" i="3"/>
  <c r="E169" i="3"/>
  <c r="G201" i="3"/>
  <c r="F201" i="3"/>
  <c r="E201" i="3"/>
  <c r="G46" i="3"/>
  <c r="F46" i="3"/>
  <c r="E46" i="3"/>
  <c r="G200" i="3"/>
  <c r="F200" i="3"/>
  <c r="E200" i="3"/>
  <c r="G235" i="3"/>
  <c r="F235" i="3"/>
  <c r="E235" i="3"/>
  <c r="G149" i="3"/>
  <c r="F149" i="3"/>
  <c r="E149" i="3"/>
  <c r="G116" i="3"/>
  <c r="F116" i="3"/>
  <c r="E116" i="3"/>
  <c r="G282" i="3"/>
  <c r="F282" i="3"/>
  <c r="E282" i="3"/>
  <c r="G151" i="3"/>
  <c r="F151" i="3"/>
  <c r="E151" i="3"/>
  <c r="G180" i="3"/>
  <c r="F180" i="3"/>
  <c r="E180" i="3"/>
  <c r="G256" i="3"/>
  <c r="F256" i="3"/>
  <c r="E256" i="3"/>
  <c r="G273" i="3"/>
  <c r="F273" i="3"/>
  <c r="E273" i="3"/>
  <c r="G286" i="3"/>
  <c r="F286" i="3"/>
  <c r="E286" i="3"/>
  <c r="G89" i="3"/>
  <c r="F89" i="3"/>
  <c r="E89" i="3"/>
  <c r="G73" i="3"/>
  <c r="F73" i="3"/>
  <c r="E73" i="3"/>
  <c r="G281" i="3"/>
  <c r="F281" i="3"/>
  <c r="E281" i="3"/>
  <c r="G168" i="3"/>
  <c r="F168" i="3"/>
  <c r="E168" i="3"/>
  <c r="G130" i="3"/>
  <c r="F130" i="3"/>
  <c r="E130" i="3"/>
  <c r="G255" i="3"/>
  <c r="F255" i="3"/>
  <c r="E255" i="3"/>
  <c r="G74" i="3"/>
  <c r="F74" i="3"/>
  <c r="E74" i="3"/>
  <c r="G254" i="3"/>
  <c r="F254" i="3"/>
  <c r="E254" i="3"/>
  <c r="G185" i="3"/>
  <c r="F185" i="3"/>
  <c r="E185" i="3"/>
  <c r="G184" i="3"/>
  <c r="F184" i="3"/>
  <c r="E184" i="3"/>
  <c r="G183" i="3"/>
  <c r="F183" i="3"/>
  <c r="E183" i="3"/>
  <c r="G217" i="3"/>
  <c r="F217" i="3"/>
  <c r="E217" i="3"/>
  <c r="G167" i="3"/>
  <c r="F167" i="3"/>
  <c r="E167" i="3"/>
  <c r="G171" i="3"/>
  <c r="F171" i="3"/>
  <c r="E171" i="3"/>
  <c r="G190" i="3"/>
  <c r="F190" i="3"/>
  <c r="E190" i="3"/>
  <c r="G287" i="3"/>
  <c r="F287" i="3"/>
  <c r="E287" i="3"/>
  <c r="G170" i="3"/>
  <c r="F170" i="3"/>
  <c r="E170" i="3"/>
  <c r="G189" i="3"/>
  <c r="F189" i="3"/>
  <c r="E189" i="3"/>
  <c r="G289" i="3"/>
  <c r="F289" i="3"/>
  <c r="E289" i="3"/>
  <c r="G77" i="3"/>
  <c r="F77" i="3"/>
  <c r="E77" i="3"/>
  <c r="G179" i="3"/>
  <c r="F179" i="3"/>
  <c r="E179" i="3"/>
  <c r="G188" i="3"/>
  <c r="F188" i="3"/>
  <c r="E188" i="3"/>
  <c r="G72" i="3"/>
  <c r="F72" i="3"/>
  <c r="E72" i="3"/>
  <c r="G2" i="3"/>
  <c r="F2" i="3"/>
  <c r="E2" i="3"/>
  <c r="G70" i="3"/>
  <c r="F70" i="3"/>
  <c r="E70" i="3"/>
  <c r="G288" i="3"/>
  <c r="F288" i="3"/>
  <c r="E288" i="3"/>
  <c r="G323" i="3"/>
  <c r="F323" i="3"/>
  <c r="E323" i="3"/>
  <c r="G127" i="3"/>
  <c r="F127" i="3"/>
  <c r="E127" i="3"/>
  <c r="G253" i="3"/>
  <c r="F253" i="3"/>
  <c r="E253" i="3"/>
  <c r="G310" i="3"/>
  <c r="F310" i="3"/>
  <c r="E310" i="3"/>
  <c r="G157" i="3"/>
  <c r="F157" i="3"/>
  <c r="E157" i="3"/>
  <c r="G252" i="3"/>
  <c r="F252" i="3"/>
  <c r="E252" i="3"/>
  <c r="G126" i="3"/>
  <c r="F126" i="3"/>
  <c r="E126" i="3"/>
  <c r="G251" i="3"/>
  <c r="F251" i="3"/>
  <c r="E251" i="3"/>
  <c r="G292" i="3"/>
  <c r="F292" i="3"/>
  <c r="E292" i="3"/>
  <c r="G101" i="3"/>
  <c r="F101" i="3"/>
  <c r="G166" i="3"/>
  <c r="F166" i="3"/>
  <c r="G250" i="3"/>
  <c r="F250" i="3"/>
  <c r="E250" i="3"/>
  <c r="G220" i="3"/>
  <c r="F220" i="3"/>
  <c r="E220" i="3"/>
  <c r="G38" i="3"/>
  <c r="F38" i="3"/>
  <c r="E38" i="3"/>
  <c r="G234" i="3"/>
  <c r="F234" i="3"/>
  <c r="E234" i="3"/>
  <c r="G131" i="3"/>
  <c r="F131" i="3"/>
  <c r="E131" i="3"/>
  <c r="G216" i="3"/>
  <c r="F216" i="3"/>
  <c r="E216" i="3"/>
  <c r="G133" i="3"/>
  <c r="F133" i="3"/>
  <c r="E133" i="3"/>
  <c r="G215" i="3"/>
  <c r="F215" i="3"/>
  <c r="E215" i="3"/>
  <c r="G214" i="3"/>
  <c r="F214" i="3"/>
  <c r="E214" i="3"/>
  <c r="G132" i="3"/>
  <c r="F132" i="3"/>
  <c r="E132" i="3"/>
  <c r="G192" i="3"/>
  <c r="F192" i="3"/>
  <c r="E192" i="3"/>
  <c r="G91" i="3"/>
  <c r="F91" i="3"/>
  <c r="E91" i="3"/>
  <c r="G177" i="3"/>
  <c r="F177" i="3"/>
  <c r="E177" i="3"/>
  <c r="G249" i="3"/>
  <c r="F249" i="3"/>
  <c r="E249" i="3"/>
  <c r="G108" i="3"/>
  <c r="F108" i="3"/>
  <c r="E108" i="3"/>
  <c r="G233" i="3"/>
  <c r="F233" i="3"/>
  <c r="E233" i="3"/>
  <c r="G129" i="3"/>
  <c r="F129" i="3"/>
  <c r="E129" i="3"/>
  <c r="G248" i="3"/>
  <c r="F248" i="3"/>
  <c r="E248" i="3"/>
  <c r="G309" i="3"/>
  <c r="F309" i="3"/>
  <c r="E309" i="3"/>
  <c r="G83" i="3"/>
  <c r="F83" i="3"/>
  <c r="E83" i="3"/>
  <c r="G115" i="3"/>
  <c r="F115" i="3"/>
  <c r="E115" i="3"/>
  <c r="G165" i="3"/>
  <c r="F165" i="3"/>
  <c r="E165" i="3"/>
  <c r="E124" i="3"/>
  <c r="F124" i="3"/>
  <c r="G124" i="3"/>
  <c r="E299" i="3"/>
  <c r="F299" i="3"/>
  <c r="G299" i="3"/>
  <c r="E164" i="3"/>
  <c r="F164" i="3"/>
  <c r="G164" i="3"/>
  <c r="E5" i="3"/>
  <c r="F5" i="3"/>
  <c r="G5" i="3"/>
  <c r="E277" i="3"/>
  <c r="F277" i="3"/>
  <c r="G277" i="3"/>
  <c r="E300" i="3"/>
  <c r="F300" i="3"/>
  <c r="G300" i="3"/>
  <c r="E24" i="3"/>
  <c r="F24" i="3"/>
  <c r="G24" i="3"/>
  <c r="E278" i="3"/>
  <c r="F278" i="3"/>
  <c r="G278" i="3"/>
  <c r="E6" i="3"/>
  <c r="F6" i="3"/>
  <c r="G6" i="3"/>
  <c r="E291" i="3"/>
  <c r="F291" i="3"/>
  <c r="G291" i="3"/>
  <c r="E301" i="3"/>
  <c r="F301" i="3"/>
  <c r="G301" i="3"/>
  <c r="E213" i="3"/>
  <c r="F213" i="3"/>
  <c r="G213" i="3"/>
  <c r="E302" i="3"/>
  <c r="F302" i="3"/>
  <c r="G302" i="3"/>
  <c r="E308" i="3"/>
  <c r="F308" i="3"/>
  <c r="G308" i="3"/>
  <c r="E17" i="3"/>
  <c r="F17" i="3"/>
  <c r="G17" i="3"/>
  <c r="E25" i="3"/>
  <c r="F25" i="3"/>
  <c r="G25" i="3"/>
  <c r="E279" i="3"/>
  <c r="F279" i="3"/>
  <c r="G279" i="3"/>
  <c r="E7" i="3"/>
  <c r="F7" i="3"/>
  <c r="G7" i="3"/>
  <c r="E303" i="3"/>
  <c r="F303" i="3"/>
  <c r="G303" i="3"/>
  <c r="E226" i="3"/>
  <c r="F226" i="3"/>
  <c r="G226" i="3"/>
  <c r="E232" i="3"/>
  <c r="F232" i="3"/>
  <c r="G232" i="3"/>
  <c r="E186" i="3"/>
  <c r="F186" i="3"/>
  <c r="G186" i="3"/>
  <c r="E178" i="3"/>
  <c r="F178" i="3"/>
  <c r="G178" i="3"/>
  <c r="E155" i="3"/>
  <c r="F155" i="3"/>
  <c r="G155" i="3"/>
  <c r="E125" i="3"/>
  <c r="F125" i="3"/>
  <c r="G125" i="3"/>
  <c r="E280" i="3"/>
  <c r="F280" i="3"/>
  <c r="G280" i="3"/>
  <c r="E182" i="3"/>
  <c r="F182" i="3"/>
  <c r="G182" i="3"/>
  <c r="E187" i="3"/>
  <c r="F187" i="3"/>
  <c r="G187" i="3"/>
  <c r="E128" i="3"/>
  <c r="F128" i="3"/>
  <c r="G128" i="3"/>
  <c r="G336" i="3"/>
  <c r="F336" i="3"/>
  <c r="E336" i="3"/>
  <c r="G298" i="3"/>
  <c r="F298" i="3"/>
  <c r="E298" i="3"/>
  <c r="G276" i="3"/>
  <c r="F276" i="3"/>
  <c r="E276" i="3"/>
  <c r="G328" i="3"/>
  <c r="F328" i="3"/>
  <c r="E328" i="3"/>
  <c r="G92" i="3"/>
  <c r="F92" i="3"/>
  <c r="E92" i="3"/>
  <c r="G297" i="3"/>
  <c r="F297" i="3"/>
  <c r="E297" i="3"/>
  <c r="G212" i="3"/>
  <c r="F212" i="3"/>
  <c r="E212" i="3"/>
  <c r="G296" i="3"/>
  <c r="F296" i="3"/>
  <c r="E296" i="3"/>
  <c r="G290" i="3"/>
  <c r="F290" i="3"/>
  <c r="E290" i="3"/>
  <c r="G211" i="3"/>
  <c r="F211" i="3"/>
  <c r="E211" i="3"/>
  <c r="G295" i="3"/>
  <c r="F295" i="3"/>
  <c r="E295" i="3"/>
  <c r="G231" i="3"/>
  <c r="F231" i="3"/>
  <c r="E231" i="3"/>
  <c r="G307" i="3"/>
  <c r="F307" i="3"/>
  <c r="E307" i="3"/>
  <c r="G19" i="3"/>
  <c r="F19" i="3"/>
  <c r="E19" i="3"/>
  <c r="G88" i="3"/>
  <c r="F88" i="3"/>
  <c r="E88" i="3"/>
  <c r="G106" i="3"/>
  <c r="F106" i="3"/>
  <c r="E106" i="3"/>
  <c r="G318" i="3"/>
  <c r="F318" i="3"/>
  <c r="E318" i="3"/>
  <c r="G71" i="3"/>
  <c r="F71" i="3"/>
  <c r="E71" i="3"/>
  <c r="G87" i="3"/>
  <c r="F87" i="3"/>
  <c r="E87" i="3"/>
  <c r="G100" i="3"/>
  <c r="F100" i="3"/>
  <c r="E100" i="3"/>
  <c r="G56" i="3"/>
  <c r="F56" i="3"/>
  <c r="E56" i="3"/>
  <c r="G66" i="3"/>
  <c r="F66" i="3"/>
  <c r="E66" i="3"/>
  <c r="G325" i="3"/>
  <c r="F325" i="3"/>
  <c r="E325" i="3"/>
  <c r="G37" i="3"/>
  <c r="F37" i="3"/>
  <c r="E37" i="3"/>
  <c r="G44" i="3"/>
  <c r="F44" i="3"/>
  <c r="E44" i="3"/>
  <c r="G99" i="3"/>
  <c r="F99" i="3"/>
  <c r="E99" i="3"/>
  <c r="G23" i="3"/>
  <c r="F23" i="3"/>
  <c r="E23" i="3"/>
  <c r="G36" i="3"/>
  <c r="F36" i="3"/>
  <c r="E36" i="3"/>
  <c r="G327" i="3"/>
  <c r="F327" i="3"/>
  <c r="E327" i="3"/>
  <c r="G98" i="3"/>
  <c r="F98" i="3"/>
  <c r="E98" i="3"/>
  <c r="G163" i="3"/>
  <c r="F163" i="3"/>
  <c r="E163" i="3"/>
  <c r="G35" i="3"/>
  <c r="F35" i="3"/>
  <c r="E35" i="3"/>
  <c r="G207" i="3"/>
  <c r="F207" i="3"/>
  <c r="E207" i="3"/>
  <c r="G104" i="3"/>
  <c r="F104" i="3"/>
  <c r="E104" i="3"/>
  <c r="G34" i="3"/>
  <c r="F34" i="3"/>
  <c r="E34" i="3"/>
  <c r="G97" i="3"/>
  <c r="F97" i="3"/>
  <c r="E97" i="3"/>
  <c r="G75" i="3"/>
  <c r="F75" i="3"/>
  <c r="E75" i="3"/>
  <c r="G322" i="3"/>
  <c r="F322" i="3"/>
  <c r="E322" i="3"/>
  <c r="G33" i="3"/>
  <c r="F33" i="3"/>
  <c r="E33" i="3"/>
  <c r="G206" i="3"/>
  <c r="F206" i="3"/>
  <c r="E206" i="3"/>
  <c r="G32" i="3"/>
  <c r="F32" i="3"/>
  <c r="E32" i="3"/>
  <c r="G43" i="3"/>
  <c r="F43" i="3"/>
  <c r="E43" i="3"/>
  <c r="G154" i="3"/>
  <c r="F154" i="3"/>
  <c r="E154" i="3"/>
  <c r="G153" i="3"/>
  <c r="F153" i="3"/>
  <c r="E153" i="3"/>
  <c r="G152" i="3"/>
  <c r="F152" i="3"/>
  <c r="E152" i="3"/>
  <c r="G31" i="3"/>
  <c r="F31" i="3"/>
  <c r="E31" i="3"/>
  <c r="G176" i="3"/>
  <c r="F176" i="3"/>
  <c r="E176" i="3"/>
  <c r="G22" i="3"/>
  <c r="F22" i="3"/>
  <c r="E22" i="3"/>
  <c r="G30" i="3"/>
  <c r="F30" i="3"/>
  <c r="E30" i="3"/>
  <c r="G210" i="3"/>
  <c r="F210" i="3"/>
  <c r="E210" i="3"/>
  <c r="G29" i="3"/>
  <c r="F29" i="3"/>
  <c r="E29" i="3"/>
  <c r="G42" i="3"/>
  <c r="F42" i="3"/>
  <c r="E42" i="3"/>
  <c r="G65" i="3"/>
  <c r="F65" i="3"/>
  <c r="E65" i="3"/>
  <c r="G64" i="3"/>
  <c r="F64" i="3"/>
  <c r="E64" i="3"/>
  <c r="G80" i="3"/>
  <c r="F80" i="3"/>
  <c r="E80" i="3"/>
  <c r="G111" i="3"/>
  <c r="F111" i="3"/>
  <c r="E111" i="3"/>
  <c r="G96" i="3"/>
  <c r="F96" i="3"/>
  <c r="E96" i="3"/>
  <c r="G107" i="3"/>
  <c r="F107" i="3"/>
  <c r="E107" i="3"/>
  <c r="G15" i="3"/>
  <c r="F15" i="3"/>
  <c r="E15" i="3"/>
  <c r="G63" i="3"/>
  <c r="F63" i="3"/>
  <c r="E63" i="3"/>
  <c r="G110" i="3"/>
  <c r="F110" i="3"/>
  <c r="E110" i="3"/>
  <c r="G105" i="3"/>
  <c r="F105" i="3"/>
  <c r="E105" i="3"/>
  <c r="G21" i="3"/>
  <c r="F21" i="3"/>
  <c r="E21" i="3"/>
  <c r="G162" i="3"/>
  <c r="F162" i="3"/>
  <c r="E162" i="3"/>
  <c r="G150" i="3"/>
  <c r="F150" i="3"/>
  <c r="E150" i="3"/>
  <c r="G148" i="3"/>
  <c r="F148" i="3"/>
  <c r="E148" i="3"/>
  <c r="G194" i="3"/>
  <c r="F194" i="3"/>
  <c r="E194" i="3"/>
  <c r="G159" i="3"/>
  <c r="F159" i="3"/>
  <c r="E159" i="3"/>
  <c r="G90" i="3"/>
  <c r="F90" i="3"/>
  <c r="E90" i="3"/>
  <c r="G3" i="3"/>
  <c r="F3" i="3"/>
  <c r="E3" i="3"/>
  <c r="G54" i="3"/>
  <c r="F54" i="3"/>
  <c r="E54" i="3"/>
  <c r="G193" i="3"/>
  <c r="F193" i="3"/>
  <c r="E193" i="3"/>
  <c r="G53" i="3"/>
  <c r="F53" i="3"/>
  <c r="E53" i="3"/>
  <c r="G334" i="3"/>
  <c r="F334" i="3"/>
  <c r="E334" i="3"/>
  <c r="G275" i="3"/>
  <c r="F275" i="3"/>
  <c r="E275" i="3"/>
  <c r="G20" i="3"/>
  <c r="F20" i="3"/>
  <c r="E20" i="3"/>
  <c r="G52" i="3"/>
  <c r="F52" i="3"/>
  <c r="E52" i="3"/>
  <c r="G209" i="3"/>
  <c r="F209" i="3"/>
  <c r="E209" i="3"/>
  <c r="G8" i="3"/>
  <c r="F8" i="3"/>
  <c r="E8" i="3"/>
  <c r="C40" i="4"/>
  <c r="B40" i="4"/>
  <c r="AE40" i="4" s="1"/>
  <c r="C39" i="4"/>
  <c r="B39" i="4"/>
  <c r="AB39" i="4" s="1" a="1"/>
  <c r="AB39" i="4" s="1"/>
  <c r="C38" i="4"/>
  <c r="B38" i="4"/>
  <c r="AB38" i="4" s="1" a="1"/>
  <c r="AB38" i="4" s="1"/>
  <c r="C37" i="4"/>
  <c r="B37" i="4"/>
  <c r="AB37" i="4" s="1" a="1"/>
  <c r="AB37" i="4" s="1"/>
  <c r="C36" i="4"/>
  <c r="B36" i="4"/>
  <c r="AC36" i="4" s="1"/>
  <c r="C35" i="4"/>
  <c r="B35" i="4"/>
  <c r="Y35" i="4" s="1"/>
  <c r="C34" i="4"/>
  <c r="B34" i="4"/>
  <c r="AB34" i="4" s="1" a="1"/>
  <c r="AB34" i="4" s="1"/>
  <c r="C33" i="4"/>
  <c r="B33" i="4"/>
  <c r="AB33" i="4" s="1" a="1"/>
  <c r="AB33" i="4" s="1"/>
  <c r="C32" i="4"/>
  <c r="B32" i="4"/>
  <c r="AC32" i="4" s="1"/>
  <c r="C31" i="4"/>
  <c r="B31" i="4"/>
  <c r="AB31" i="4" s="1" a="1"/>
  <c r="AB31" i="4" s="1"/>
  <c r="C30" i="4"/>
  <c r="B30" i="4"/>
  <c r="AB30" i="4" s="1" a="1"/>
  <c r="AB30" i="4" s="1"/>
  <c r="E238" i="3"/>
  <c r="F238" i="3"/>
  <c r="G238" i="3"/>
  <c r="E81" i="3"/>
  <c r="F81" i="3"/>
  <c r="G81" i="3"/>
  <c r="E93" i="3"/>
  <c r="F93" i="3"/>
  <c r="G93" i="3"/>
  <c r="E27" i="3"/>
  <c r="F27" i="3"/>
  <c r="G27" i="3"/>
  <c r="E239" i="3"/>
  <c r="F239" i="3"/>
  <c r="G239" i="3"/>
  <c r="E58" i="3"/>
  <c r="F58" i="3"/>
  <c r="G58" i="3"/>
  <c r="E94" i="3"/>
  <c r="F94" i="3"/>
  <c r="G94" i="3"/>
  <c r="E326" i="3"/>
  <c r="F326" i="3"/>
  <c r="G326" i="3"/>
  <c r="E84" i="3"/>
  <c r="F84" i="3"/>
  <c r="G84" i="3"/>
  <c r="E18" i="3"/>
  <c r="F18" i="3"/>
  <c r="G18" i="3"/>
  <c r="E55" i="3"/>
  <c r="F55" i="3"/>
  <c r="G55" i="3"/>
  <c r="E202" i="3"/>
  <c r="F202" i="3"/>
  <c r="G202" i="3"/>
  <c r="E85" i="3"/>
  <c r="F85" i="3"/>
  <c r="G85" i="3"/>
  <c r="E103" i="3"/>
  <c r="F103" i="3"/>
  <c r="G103" i="3"/>
  <c r="E120" i="3"/>
  <c r="F120" i="3"/>
  <c r="G120" i="3"/>
  <c r="E227" i="3"/>
  <c r="F227" i="3"/>
  <c r="G227" i="3"/>
  <c r="E293" i="3"/>
  <c r="F293" i="3"/>
  <c r="G293" i="3"/>
  <c r="E203" i="3"/>
  <c r="F203" i="3"/>
  <c r="G203" i="3"/>
  <c r="E294" i="3"/>
  <c r="F294" i="3"/>
  <c r="G294" i="3"/>
  <c r="E158" i="3"/>
  <c r="F158" i="3"/>
  <c r="G158" i="3"/>
  <c r="E272" i="3"/>
  <c r="F272" i="3"/>
  <c r="G272" i="3"/>
  <c r="E228" i="3"/>
  <c r="F228" i="3"/>
  <c r="G228" i="3"/>
  <c r="E67" i="3"/>
  <c r="F67" i="3"/>
  <c r="G67" i="3"/>
  <c r="E204" i="3"/>
  <c r="F204" i="3"/>
  <c r="G204" i="3"/>
  <c r="E68" i="3"/>
  <c r="F68" i="3"/>
  <c r="G68" i="3"/>
  <c r="G14" i="3"/>
  <c r="F14" i="3"/>
  <c r="E14" i="3"/>
  <c r="G50" i="3"/>
  <c r="F50" i="3"/>
  <c r="E50" i="3"/>
  <c r="G161" i="3"/>
  <c r="F161" i="3"/>
  <c r="E161" i="3"/>
  <c r="G306" i="3"/>
  <c r="F306" i="3"/>
  <c r="E306" i="3"/>
  <c r="G247" i="3"/>
  <c r="F247" i="3"/>
  <c r="E247" i="3"/>
  <c r="G12" i="3"/>
  <c r="F12" i="3"/>
  <c r="E12" i="3"/>
  <c r="G197" i="3"/>
  <c r="F197" i="3"/>
  <c r="E197" i="3"/>
  <c r="G274" i="3"/>
  <c r="F274" i="3"/>
  <c r="E274" i="3"/>
  <c r="G9" i="3"/>
  <c r="F9" i="3"/>
  <c r="E9" i="3"/>
  <c r="G11" i="3"/>
  <c r="F11" i="3"/>
  <c r="E11" i="3"/>
  <c r="G10" i="3"/>
  <c r="F10" i="3"/>
  <c r="E10" i="3"/>
  <c r="G156" i="3"/>
  <c r="F156" i="3"/>
  <c r="E156" i="3"/>
  <c r="G112" i="3"/>
  <c r="F112" i="3"/>
  <c r="E112" i="3"/>
  <c r="G41" i="3"/>
  <c r="F41" i="3"/>
  <c r="E41" i="3"/>
  <c r="G62" i="3"/>
  <c r="F62" i="3"/>
  <c r="E62" i="3"/>
  <c r="G246" i="3"/>
  <c r="F246" i="3"/>
  <c r="E246" i="3"/>
  <c r="G225" i="3"/>
  <c r="F225" i="3"/>
  <c r="E225" i="3"/>
  <c r="G224" i="3"/>
  <c r="F224" i="3"/>
  <c r="E224" i="3"/>
  <c r="G4" i="3"/>
  <c r="F4" i="3"/>
  <c r="E4" i="3"/>
  <c r="G160" i="3"/>
  <c r="F160" i="3"/>
  <c r="E160" i="3"/>
  <c r="G245" i="3"/>
  <c r="F245" i="3"/>
  <c r="E245" i="3"/>
  <c r="G49" i="3"/>
  <c r="F49" i="3"/>
  <c r="E49" i="3"/>
  <c r="G16" i="3"/>
  <c r="F16" i="3"/>
  <c r="E16" i="3"/>
  <c r="G244" i="3"/>
  <c r="F244" i="3"/>
  <c r="E244" i="3"/>
  <c r="G82" i="3"/>
  <c r="F82" i="3"/>
  <c r="E82" i="3"/>
  <c r="G208" i="3"/>
  <c r="F208" i="3"/>
  <c r="E208" i="3"/>
  <c r="G86" i="3"/>
  <c r="F86" i="3"/>
  <c r="E86" i="3"/>
  <c r="G230" i="3"/>
  <c r="F230" i="3"/>
  <c r="E230" i="3"/>
  <c r="G28" i="3"/>
  <c r="F28" i="3"/>
  <c r="E28" i="3"/>
  <c r="G95" i="3"/>
  <c r="F95" i="3"/>
  <c r="E95" i="3"/>
  <c r="G324" i="3"/>
  <c r="F324" i="3"/>
  <c r="E324" i="3"/>
  <c r="G45" i="3"/>
  <c r="F45" i="3"/>
  <c r="E45" i="3"/>
  <c r="G243" i="3"/>
  <c r="F243" i="3"/>
  <c r="E243" i="3"/>
  <c r="G223" i="3"/>
  <c r="F223" i="3"/>
  <c r="E223" i="3"/>
  <c r="G61" i="3"/>
  <c r="F61" i="3"/>
  <c r="E61" i="3"/>
  <c r="G78" i="3"/>
  <c r="F78" i="3"/>
  <c r="E78" i="3"/>
  <c r="G121" i="3"/>
  <c r="F121" i="3"/>
  <c r="E121" i="3"/>
  <c r="G60" i="3"/>
  <c r="F60" i="3"/>
  <c r="E60" i="3"/>
  <c r="G242" i="3"/>
  <c r="F242" i="3"/>
  <c r="E242" i="3"/>
  <c r="G13" i="3"/>
  <c r="F13" i="3"/>
  <c r="E13" i="3"/>
  <c r="G57" i="3"/>
  <c r="F57" i="3"/>
  <c r="E57" i="3"/>
  <c r="G79" i="3"/>
  <c r="F79" i="3"/>
  <c r="E79" i="3"/>
  <c r="G241" i="3"/>
  <c r="F241" i="3"/>
  <c r="E241" i="3"/>
  <c r="G219" i="3"/>
  <c r="F219" i="3"/>
  <c r="E219" i="3"/>
  <c r="G109" i="3"/>
  <c r="F109" i="3"/>
  <c r="E109" i="3"/>
  <c r="G205" i="3"/>
  <c r="F205" i="3"/>
  <c r="E205" i="3"/>
  <c r="G198" i="3"/>
  <c r="F198" i="3"/>
  <c r="E198" i="3"/>
  <c r="G199" i="3"/>
  <c r="F199" i="3"/>
  <c r="E199" i="3"/>
  <c r="G229" i="3"/>
  <c r="F229" i="3"/>
  <c r="E229" i="3"/>
  <c r="G305" i="3"/>
  <c r="F305" i="3"/>
  <c r="E305" i="3"/>
  <c r="G59" i="3"/>
  <c r="F59" i="3"/>
  <c r="E59" i="3"/>
  <c r="G240" i="3"/>
  <c r="F240" i="3"/>
  <c r="E240" i="3"/>
  <c r="G218" i="3"/>
  <c r="F218" i="3"/>
  <c r="E218" i="3"/>
  <c r="G69" i="3"/>
  <c r="F69" i="3"/>
  <c r="E69" i="3"/>
  <c r="G337" i="3"/>
  <c r="F337" i="3"/>
  <c r="E337" i="3"/>
  <c r="Z30" i="4" l="1"/>
  <c r="Z39" i="4"/>
  <c r="Y39" i="4"/>
  <c r="Z38" i="4"/>
  <c r="Y38" i="4"/>
  <c r="Y37" i="4"/>
  <c r="Z37" i="4"/>
  <c r="Z36" i="4"/>
  <c r="Z35" i="4"/>
  <c r="Y34" i="4"/>
  <c r="Z34" i="4"/>
  <c r="Z33" i="4"/>
  <c r="Y33" i="4"/>
  <c r="Z32" i="4"/>
  <c r="Y32" i="4"/>
  <c r="Y31" i="4"/>
  <c r="Z31" i="4"/>
  <c r="AA36" i="12"/>
  <c r="AA35" i="12"/>
  <c r="AA31" i="12"/>
  <c r="Y24" i="12"/>
  <c r="AA30" i="12"/>
  <c r="AA38" i="12"/>
  <c r="AA33" i="12"/>
  <c r="AA34" i="12"/>
  <c r="AA39" i="12"/>
  <c r="Z24" i="12"/>
  <c r="AA37" i="12"/>
  <c r="AA32" i="12"/>
  <c r="Y30" i="4"/>
  <c r="AA30" i="4" s="1"/>
  <c r="Y36" i="4"/>
  <c r="AA35" i="4"/>
  <c r="AA39" i="4"/>
  <c r="S34" i="4"/>
  <c r="AC34" i="4"/>
  <c r="D38" i="4"/>
  <c r="AC38" i="4"/>
  <c r="AE35" i="4"/>
  <c r="AC35" i="4"/>
  <c r="S30" i="4"/>
  <c r="AC30" i="4"/>
  <c r="AE39" i="4"/>
  <c r="AC39" i="4"/>
  <c r="AB36" i="4" a="1"/>
  <c r="AB36" i="4" s="1"/>
  <c r="AD36" i="4" s="1"/>
  <c r="AE31" i="4"/>
  <c r="AC31" i="4"/>
  <c r="V33" i="4"/>
  <c r="AC33" i="4"/>
  <c r="V37" i="4"/>
  <c r="AC37" i="4"/>
  <c r="AB35" i="4" a="1"/>
  <c r="AB35" i="4" s="1"/>
  <c r="AB32" i="4" a="1"/>
  <c r="AB32" i="4" s="1"/>
  <c r="AD32" i="4" s="1"/>
  <c r="D20" i="12"/>
  <c r="X36" i="12"/>
  <c r="P36" i="12"/>
  <c r="AD32" i="12"/>
  <c r="G30" i="12"/>
  <c r="P32" i="12"/>
  <c r="AD30" i="12"/>
  <c r="AD33" i="12"/>
  <c r="D19" i="12"/>
  <c r="X30" i="12"/>
  <c r="AD34" i="12"/>
  <c r="P30" i="12"/>
  <c r="AD38" i="12"/>
  <c r="X34" i="12"/>
  <c r="K31" i="12"/>
  <c r="P38" i="12"/>
  <c r="AD37" i="12"/>
  <c r="P35" i="12"/>
  <c r="K37" i="12"/>
  <c r="K35" i="12"/>
  <c r="H30" i="12"/>
  <c r="H33" i="12"/>
  <c r="T35" i="12"/>
  <c r="G33" i="12"/>
  <c r="G36" i="12"/>
  <c r="X38" i="12"/>
  <c r="AD35" i="12"/>
  <c r="X35" i="12"/>
  <c r="K32" i="12"/>
  <c r="X33" i="12"/>
  <c r="T33" i="12"/>
  <c r="H36" i="12"/>
  <c r="K38" i="12"/>
  <c r="P33" i="12"/>
  <c r="T34" i="12"/>
  <c r="G26" i="12"/>
  <c r="K34" i="12"/>
  <c r="X32" i="12"/>
  <c r="T37" i="12"/>
  <c r="I24" i="12"/>
  <c r="X37" i="12"/>
  <c r="T39" i="12"/>
  <c r="T32" i="12"/>
  <c r="T31" i="12"/>
  <c r="AE24" i="12"/>
  <c r="P34" i="12"/>
  <c r="AC24" i="12"/>
  <c r="W24" i="12"/>
  <c r="E24" i="12"/>
  <c r="M24" i="12"/>
  <c r="AB24" i="12"/>
  <c r="E20" i="4"/>
  <c r="K30" i="12"/>
  <c r="J24" i="12"/>
  <c r="P37" i="12"/>
  <c r="AD39" i="12"/>
  <c r="T36" i="12"/>
  <c r="H37" i="12"/>
  <c r="G37" i="12"/>
  <c r="K33" i="12"/>
  <c r="L24" i="12"/>
  <c r="X39" i="12"/>
  <c r="AD31" i="12"/>
  <c r="K36" i="12"/>
  <c r="G20" i="4"/>
  <c r="V24" i="12"/>
  <c r="H34" i="12"/>
  <c r="G34" i="12"/>
  <c r="X31" i="12"/>
  <c r="P31" i="12"/>
  <c r="N24" i="12"/>
  <c r="H35" i="12"/>
  <c r="G35" i="12"/>
  <c r="G31" i="12"/>
  <c r="H31" i="12"/>
  <c r="U24" i="12"/>
  <c r="E19" i="4"/>
  <c r="G32" i="12"/>
  <c r="H32" i="12"/>
  <c r="T38" i="12"/>
  <c r="F24" i="12"/>
  <c r="P39" i="12"/>
  <c r="H38" i="12"/>
  <c r="G38" i="12"/>
  <c r="S24" i="12"/>
  <c r="Q24" i="12"/>
  <c r="D24" i="12"/>
  <c r="F19" i="4"/>
  <c r="O24" i="12"/>
  <c r="G39" i="12"/>
  <c r="H39" i="12"/>
  <c r="H26" i="12"/>
  <c r="T30" i="12"/>
  <c r="R24" i="12"/>
  <c r="K39" i="12"/>
  <c r="AD36" i="12"/>
  <c r="H20" i="4"/>
  <c r="H19" i="4"/>
  <c r="D19" i="4"/>
  <c r="G19" i="4"/>
  <c r="D20" i="4"/>
  <c r="F20" i="4"/>
  <c r="E30" i="4"/>
  <c r="F37" i="4"/>
  <c r="D35" i="4"/>
  <c r="E32" i="4"/>
  <c r="F30" i="4"/>
  <c r="E37" i="4"/>
  <c r="F34" i="4"/>
  <c r="D32" i="4"/>
  <c r="F39" i="4"/>
  <c r="D37" i="4"/>
  <c r="E34" i="4"/>
  <c r="F31" i="4"/>
  <c r="Q26" i="4"/>
  <c r="E39" i="4"/>
  <c r="F36" i="4"/>
  <c r="D34" i="4"/>
  <c r="E31" i="4"/>
  <c r="R26" i="4"/>
  <c r="D39" i="4"/>
  <c r="E36" i="4"/>
  <c r="F33" i="4"/>
  <c r="D31" i="4"/>
  <c r="S26" i="4"/>
  <c r="F38" i="4"/>
  <c r="D36" i="4"/>
  <c r="E33" i="4"/>
  <c r="D26" i="4"/>
  <c r="AE26" i="4"/>
  <c r="E38" i="4"/>
  <c r="F35" i="4"/>
  <c r="D33" i="4"/>
  <c r="E26" i="4"/>
  <c r="D30" i="4"/>
  <c r="E35" i="4"/>
  <c r="F32" i="4"/>
  <c r="S38" i="4"/>
  <c r="V38" i="4"/>
  <c r="O38" i="4"/>
  <c r="O34" i="4"/>
  <c r="V31" i="4"/>
  <c r="V39" i="4"/>
  <c r="R31" i="4"/>
  <c r="R35" i="4"/>
  <c r="R39" i="4"/>
  <c r="S31" i="4"/>
  <c r="V35" i="4"/>
  <c r="S39" i="4"/>
  <c r="O30" i="4"/>
  <c r="N34" i="4"/>
  <c r="U38" i="4"/>
  <c r="W39" i="4"/>
  <c r="U30" i="4"/>
  <c r="V30" i="4"/>
  <c r="U34" i="4"/>
  <c r="V34" i="4"/>
  <c r="L39" i="4"/>
  <c r="L31" i="4"/>
  <c r="L35" i="4"/>
  <c r="M39" i="4"/>
  <c r="S32" i="4"/>
  <c r="U36" i="4"/>
  <c r="U32" i="4"/>
  <c r="AE36" i="4"/>
  <c r="I32" i="4"/>
  <c r="J36" i="4"/>
  <c r="J38" i="4"/>
  <c r="S36" i="4"/>
  <c r="AE32" i="4"/>
  <c r="I36" i="4"/>
  <c r="J30" i="4"/>
  <c r="L30" i="4"/>
  <c r="I31" i="4"/>
  <c r="J32" i="4"/>
  <c r="J34" i="4"/>
  <c r="O36" i="4"/>
  <c r="L38" i="4"/>
  <c r="I39" i="4"/>
  <c r="N30" i="4"/>
  <c r="O32" i="4"/>
  <c r="L34" i="4"/>
  <c r="Q36" i="4"/>
  <c r="N38" i="4"/>
  <c r="Q32" i="4"/>
  <c r="M37" i="4"/>
  <c r="W37" i="4"/>
  <c r="N33" i="4"/>
  <c r="N37" i="4"/>
  <c r="I35" i="4"/>
  <c r="S35" i="4"/>
  <c r="M30" i="4"/>
  <c r="W30" i="4"/>
  <c r="J31" i="4"/>
  <c r="U31" i="4"/>
  <c r="R32" i="4"/>
  <c r="O33" i="4"/>
  <c r="M34" i="4"/>
  <c r="W34" i="4"/>
  <c r="J35" i="4"/>
  <c r="U35" i="4"/>
  <c r="R36" i="4"/>
  <c r="O37" i="4"/>
  <c r="M38" i="4"/>
  <c r="W38" i="4"/>
  <c r="J39" i="4"/>
  <c r="U39" i="4"/>
  <c r="M31" i="4"/>
  <c r="W31" i="4"/>
  <c r="R33" i="4"/>
  <c r="M35" i="4"/>
  <c r="W35" i="4"/>
  <c r="R37" i="4"/>
  <c r="Q30" i="4"/>
  <c r="AE30" i="4"/>
  <c r="N31" i="4"/>
  <c r="L32" i="4"/>
  <c r="V32" i="4"/>
  <c r="I33" i="4"/>
  <c r="S33" i="4"/>
  <c r="Q34" i="4"/>
  <c r="AE34" i="4"/>
  <c r="N35" i="4"/>
  <c r="L36" i="4"/>
  <c r="V36" i="4"/>
  <c r="I37" i="4"/>
  <c r="S37" i="4"/>
  <c r="Q38" i="4"/>
  <c r="AE38" i="4"/>
  <c r="N39" i="4"/>
  <c r="Q33" i="4"/>
  <c r="AE33" i="4"/>
  <c r="R30" i="4"/>
  <c r="O31" i="4"/>
  <c r="M32" i="4"/>
  <c r="W32" i="4"/>
  <c r="J33" i="4"/>
  <c r="U33" i="4"/>
  <c r="R34" i="4"/>
  <c r="O35" i="4"/>
  <c r="M36" i="4"/>
  <c r="W36" i="4"/>
  <c r="J37" i="4"/>
  <c r="U37" i="4"/>
  <c r="R38" i="4"/>
  <c r="O39" i="4"/>
  <c r="M33" i="4"/>
  <c r="W33" i="4"/>
  <c r="Q37" i="4"/>
  <c r="AE37" i="4"/>
  <c r="I30" i="4"/>
  <c r="Q31" i="4"/>
  <c r="N32" i="4"/>
  <c r="L33" i="4"/>
  <c r="I34" i="4"/>
  <c r="Q35" i="4"/>
  <c r="N36" i="4"/>
  <c r="L37" i="4"/>
  <c r="I38" i="4"/>
  <c r="Q39" i="4"/>
  <c r="AA36" i="4" l="1"/>
  <c r="AA37" i="4"/>
  <c r="AA38" i="4"/>
  <c r="AA32" i="4"/>
  <c r="AA33" i="4"/>
  <c r="AA34" i="4"/>
  <c r="Z24" i="4"/>
  <c r="AB4" i="14" s="1"/>
  <c r="AA31" i="4"/>
  <c r="AA24" i="12"/>
  <c r="Y24" i="4"/>
  <c r="AA4" i="14" s="1"/>
  <c r="X39" i="4"/>
  <c r="P24" i="12"/>
  <c r="R25" i="12"/>
  <c r="N25" i="12"/>
  <c r="AD24" i="12"/>
  <c r="G24" i="12"/>
  <c r="Q25" i="12"/>
  <c r="T24" i="12"/>
  <c r="S25" i="12"/>
  <c r="L25" i="12"/>
  <c r="K24" i="12"/>
  <c r="X24" i="12"/>
  <c r="U25" i="12"/>
  <c r="M25" i="12"/>
  <c r="V25" i="12"/>
  <c r="O25" i="12"/>
  <c r="H24" i="12"/>
  <c r="W25" i="12"/>
  <c r="T31" i="4"/>
  <c r="H26" i="4"/>
  <c r="G26" i="4"/>
  <c r="S24" i="4"/>
  <c r="U4" i="14" s="1"/>
  <c r="R24" i="4"/>
  <c r="T4" i="14" s="1"/>
  <c r="L24" i="4"/>
  <c r="N4" i="14" s="1"/>
  <c r="V24" i="4"/>
  <c r="X4" i="14" s="1"/>
  <c r="U24" i="4"/>
  <c r="W4" i="14" s="1"/>
  <c r="J24" i="4"/>
  <c r="L4" i="14" s="1"/>
  <c r="I24" i="4"/>
  <c r="K4" i="14" s="1"/>
  <c r="N24" i="4"/>
  <c r="P4" i="14" s="1"/>
  <c r="AE24" i="4"/>
  <c r="AG4" i="14" s="1"/>
  <c r="W24" i="4"/>
  <c r="Y4" i="14" s="1"/>
  <c r="AC24" i="4"/>
  <c r="AE4" i="14" s="1"/>
  <c r="Q24" i="4"/>
  <c r="S4" i="14" s="1"/>
  <c r="M24" i="4"/>
  <c r="O4" i="14" s="1"/>
  <c r="O24" i="4"/>
  <c r="Q4" i="14" s="1"/>
  <c r="AB24" i="4"/>
  <c r="AD4" i="14" s="1"/>
  <c r="X35" i="4"/>
  <c r="T39" i="4"/>
  <c r="P39" i="4"/>
  <c r="X37" i="4"/>
  <c r="AD38" i="4"/>
  <c r="X30" i="4"/>
  <c r="X31" i="4"/>
  <c r="X36" i="4"/>
  <c r="X38" i="4"/>
  <c r="X33" i="4"/>
  <c r="X34" i="4"/>
  <c r="X32" i="4"/>
  <c r="T35" i="4"/>
  <c r="K36" i="4"/>
  <c r="K32" i="4"/>
  <c r="AD31" i="4"/>
  <c r="P38" i="4"/>
  <c r="AD33" i="4"/>
  <c r="K33" i="4"/>
  <c r="P35" i="4"/>
  <c r="T32" i="4"/>
  <c r="K38" i="4"/>
  <c r="P30" i="4"/>
  <c r="AD34" i="4"/>
  <c r="P34" i="4"/>
  <c r="K34" i="4"/>
  <c r="E24" i="4"/>
  <c r="G4" i="14" s="1"/>
  <c r="AD37" i="4"/>
  <c r="K37" i="4"/>
  <c r="AD35" i="4"/>
  <c r="AD39" i="4"/>
  <c r="T33" i="4"/>
  <c r="T37" i="4"/>
  <c r="T36" i="4"/>
  <c r="P37" i="4"/>
  <c r="P33" i="4"/>
  <c r="K39" i="4"/>
  <c r="P31" i="4"/>
  <c r="T30" i="4"/>
  <c r="K31" i="4"/>
  <c r="T38" i="4"/>
  <c r="P32" i="4"/>
  <c r="T34" i="4"/>
  <c r="P36" i="4"/>
  <c r="K35" i="4"/>
  <c r="AD30" i="4"/>
  <c r="K30" i="4"/>
  <c r="AA24" i="4" l="1"/>
  <c r="AC4" i="14" s="1"/>
  <c r="F25" i="12"/>
  <c r="E25" i="12"/>
  <c r="D25" i="12"/>
  <c r="X24" i="4"/>
  <c r="Z4" i="14" s="1"/>
  <c r="L25" i="4"/>
  <c r="R25" i="4"/>
  <c r="Q25" i="4"/>
  <c r="T24" i="4"/>
  <c r="V4" i="14" s="1"/>
  <c r="W25" i="4"/>
  <c r="D24" i="4"/>
  <c r="F4" i="14" s="1"/>
  <c r="O25" i="4"/>
  <c r="M25" i="4"/>
  <c r="U25" i="4"/>
  <c r="AD24" i="4"/>
  <c r="AF4" i="14" s="1"/>
  <c r="V25" i="4"/>
  <c r="K24" i="4"/>
  <c r="M4" i="14" s="1"/>
  <c r="P24" i="4"/>
  <c r="R4" i="14" s="1"/>
  <c r="F24" i="4"/>
  <c r="H4" i="14" s="1"/>
  <c r="N25" i="4"/>
  <c r="S25" i="4"/>
  <c r="H31" i="4"/>
  <c r="H35" i="4"/>
  <c r="H30" i="4"/>
  <c r="G34" i="4"/>
  <c r="G30" i="4"/>
  <c r="G35" i="4"/>
  <c r="G39" i="4"/>
  <c r="H34" i="4"/>
  <c r="H38" i="4"/>
  <c r="G36" i="4"/>
  <c r="G37" i="4"/>
  <c r="G32" i="4"/>
  <c r="G31" i="4"/>
  <c r="G33" i="4"/>
  <c r="H36" i="4"/>
  <c r="H32" i="4"/>
  <c r="H37" i="4"/>
  <c r="H33" i="4"/>
  <c r="G38" i="4"/>
  <c r="H39" i="4"/>
  <c r="H24" i="4" l="1"/>
  <c r="J4" i="14" s="1"/>
  <c r="G24" i="4"/>
  <c r="I4" i="14" s="1"/>
  <c r="E25" i="4" l="1"/>
  <c r="D25" i="4"/>
  <c r="F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<sst xmlns="http://schemas.openxmlformats.org/spreadsheetml/2006/main" count="389" uniqueCount="175">
  <si>
    <t>Player Key</t>
  </si>
  <si>
    <t>Player Number</t>
  </si>
  <si>
    <t>Player</t>
  </si>
  <si>
    <t>s</t>
  </si>
  <si>
    <t>Sam</t>
  </si>
  <si>
    <t>k</t>
  </si>
  <si>
    <t>z</t>
  </si>
  <si>
    <t>m</t>
  </si>
  <si>
    <t>i</t>
  </si>
  <si>
    <t>d</t>
  </si>
  <si>
    <t>l</t>
  </si>
  <si>
    <t>Levi</t>
  </si>
  <si>
    <t>t</t>
  </si>
  <si>
    <t>Team</t>
  </si>
  <si>
    <t>p</t>
  </si>
  <si>
    <t>Opposition</t>
  </si>
  <si>
    <t>Action Key</t>
  </si>
  <si>
    <t>Action Category</t>
  </si>
  <si>
    <t>Action</t>
  </si>
  <si>
    <t>Definition</t>
  </si>
  <si>
    <t>si</t>
  </si>
  <si>
    <t>Serve</t>
  </si>
  <si>
    <t>In</t>
  </si>
  <si>
    <t xml:space="preserve">Serve went in, but was returned </t>
  </si>
  <si>
    <t>sa</t>
  </si>
  <si>
    <t>Ace</t>
  </si>
  <si>
    <t>Serve was not returned by the opposition</t>
  </si>
  <si>
    <t>se</t>
  </si>
  <si>
    <t>Error</t>
  </si>
  <si>
    <t>Service error</t>
  </si>
  <si>
    <t>aa</t>
  </si>
  <si>
    <t>Assist</t>
  </si>
  <si>
    <t>Attempt</t>
  </si>
  <si>
    <t>Did not result in a point</t>
  </si>
  <si>
    <t>as</t>
  </si>
  <si>
    <t>Success</t>
  </si>
  <si>
    <t>Resulted in a point</t>
  </si>
  <si>
    <t>ae</t>
  </si>
  <si>
    <t>The set directly resulted in an error</t>
  </si>
  <si>
    <t>ka</t>
  </si>
  <si>
    <t>Kill</t>
  </si>
  <si>
    <t>ke</t>
  </si>
  <si>
    <t>ks</t>
  </si>
  <si>
    <t>bh</t>
  </si>
  <si>
    <t>Block</t>
  </si>
  <si>
    <t>half</t>
  </si>
  <si>
    <t>bs</t>
  </si>
  <si>
    <t>solo</t>
  </si>
  <si>
    <t>be</t>
  </si>
  <si>
    <t>error</t>
  </si>
  <si>
    <t>e</t>
  </si>
  <si>
    <t>General error</t>
  </si>
  <si>
    <t>p0</t>
  </si>
  <si>
    <t>Pass</t>
  </si>
  <si>
    <t>p1</t>
  </si>
  <si>
    <t>p2</t>
  </si>
  <si>
    <t>p3</t>
  </si>
  <si>
    <t>Defense</t>
  </si>
  <si>
    <t>Dig</t>
  </si>
  <si>
    <t>Dig is a defensive bump that keeps the ball from hitting the floor when it's sent to your side of the court with an offensive attack, usually a spike.</t>
  </si>
  <si>
    <t>c</t>
  </si>
  <si>
    <t>Cover</t>
  </si>
  <si>
    <t>A save from a block</t>
  </si>
  <si>
    <t>de</t>
  </si>
  <si>
    <t>Defence</t>
  </si>
  <si>
    <t>Dig or cover attempt</t>
  </si>
  <si>
    <t>http://fs.ncaa.org/Docs/stats/Stats_Manuals/VB/2022.pdf</t>
  </si>
  <si>
    <t>Set</t>
  </si>
  <si>
    <t>Name</t>
  </si>
  <si>
    <t>Category</t>
  </si>
  <si>
    <t>UWA</t>
  </si>
  <si>
    <t>Serving</t>
  </si>
  <si>
    <t>Passing</t>
  </si>
  <si>
    <t>Kills</t>
  </si>
  <si>
    <t>Set Assists</t>
  </si>
  <si>
    <t>Blocks</t>
  </si>
  <si>
    <t>Other</t>
  </si>
  <si>
    <t>Name Key</t>
  </si>
  <si>
    <t>Aces</t>
  </si>
  <si>
    <t>Errors</t>
  </si>
  <si>
    <t>Total</t>
  </si>
  <si>
    <t>%</t>
  </si>
  <si>
    <t>Digs</t>
  </si>
  <si>
    <t>Covers</t>
  </si>
  <si>
    <t>Score</t>
  </si>
  <si>
    <t>Attacks</t>
  </si>
  <si>
    <t>Hit Eff.</t>
  </si>
  <si>
    <t>Assists</t>
  </si>
  <si>
    <t>Team Total</t>
  </si>
  <si>
    <t>Dig: defensive bump that keeps the ball from hitting the floor when it's sent to your side of the court with an offensive attack, usually a spike.</t>
  </si>
  <si>
    <t>0 : pass directly resulted in an error</t>
  </si>
  <si>
    <t>Hit Eff =</t>
  </si>
  <si>
    <t>Kills - Errors</t>
  </si>
  <si>
    <t>Attempt: not result in a kill</t>
  </si>
  <si>
    <t>1 : poor (setter only one option or not to setter)</t>
  </si>
  <si>
    <t>Attacks + Kills + Errors</t>
  </si>
  <si>
    <t>Assist: resulted in a kill</t>
  </si>
  <si>
    <t>Cover: save from a block</t>
  </si>
  <si>
    <t>2 : good (setter has primarily two options)</t>
  </si>
  <si>
    <t>Error: usually ball handling error (double hit, thrown ball, lifted ball)</t>
  </si>
  <si>
    <t>3 : perfect (giving setter all setting options)</t>
  </si>
  <si>
    <t>Set Eff.</t>
  </si>
  <si>
    <t>Set Eff =</t>
  </si>
  <si>
    <t>Attempts + Assists + Errors</t>
  </si>
  <si>
    <t>Team Stats</t>
  </si>
  <si>
    <t>Player Stats</t>
  </si>
  <si>
    <t>% split per skill</t>
  </si>
  <si>
    <t>Opp Aces</t>
  </si>
  <si>
    <t>SX Srv Aces</t>
  </si>
  <si>
    <t>SX Srv Errors</t>
  </si>
  <si>
    <t>SX Pass Errors</t>
  </si>
  <si>
    <t>SX Kills</t>
  </si>
  <si>
    <t>SX Kill Err</t>
  </si>
  <si>
    <t>SX Set Err</t>
  </si>
  <si>
    <t>SX Block Half</t>
  </si>
  <si>
    <t>SX Block Solo</t>
  </si>
  <si>
    <t>Opp Kills</t>
  </si>
  <si>
    <t>Opp Srv Errors</t>
  </si>
  <si>
    <t>Opp Kill Err</t>
  </si>
  <si>
    <t>SX BHA Err</t>
  </si>
  <si>
    <t>Opp BHA Err</t>
  </si>
  <si>
    <t>Set #s</t>
  </si>
  <si>
    <t>Score Calcs</t>
  </si>
  <si>
    <t>Data</t>
  </si>
  <si>
    <t>Raw Data</t>
  </si>
  <si>
    <t>Date</t>
  </si>
  <si>
    <t>Opponent</t>
  </si>
  <si>
    <t>Result</t>
  </si>
  <si>
    <t>Chequers</t>
  </si>
  <si>
    <t>W (3-0)</t>
  </si>
  <si>
    <t>L (1-3)</t>
  </si>
  <si>
    <t>Apex</t>
  </si>
  <si>
    <t>BK Half</t>
  </si>
  <si>
    <t>BK Solo</t>
  </si>
  <si>
    <t>BK Score</t>
  </si>
  <si>
    <t>Block Kill</t>
  </si>
  <si>
    <t>bkh</t>
  </si>
  <si>
    <t>bks</t>
  </si>
  <si>
    <t>bke</t>
  </si>
  <si>
    <t>B Score</t>
  </si>
  <si>
    <t>B Half</t>
  </si>
  <si>
    <t>B Solo</t>
  </si>
  <si>
    <t>Directly results in a point</t>
  </si>
  <si>
    <t>Ball returned to opponent, but does not result in a point</t>
  </si>
  <si>
    <t>BK: Block Kill (point)</t>
  </si>
  <si>
    <t>B: Block (opposition covered, ball still in play)</t>
  </si>
  <si>
    <t>Half : 2 or more players in wall even if only one player touched the ball</t>
  </si>
  <si>
    <t>Reds</t>
  </si>
  <si>
    <t>% 3's</t>
  </si>
  <si>
    <t>Busselton</t>
  </si>
  <si>
    <t>›</t>
  </si>
  <si>
    <t>Mandurah</t>
  </si>
  <si>
    <t>Baldivis</t>
  </si>
  <si>
    <t>W (3-1)</t>
  </si>
  <si>
    <t>r</t>
  </si>
  <si>
    <t>Reece</t>
  </si>
  <si>
    <t>Zach</t>
  </si>
  <si>
    <t>Cameron</t>
  </si>
  <si>
    <t>Tom</t>
  </si>
  <si>
    <t>b</t>
  </si>
  <si>
    <t>Bodhi</t>
  </si>
  <si>
    <t>Kaito</t>
  </si>
  <si>
    <t>Hayden</t>
  </si>
  <si>
    <t>h</t>
  </si>
  <si>
    <t>j</t>
  </si>
  <si>
    <t>Jayden</t>
  </si>
  <si>
    <t>Marcus</t>
  </si>
  <si>
    <t>Hugh</t>
  </si>
  <si>
    <t>a</t>
  </si>
  <si>
    <t>Blake</t>
  </si>
  <si>
    <t>Jasiel</t>
  </si>
  <si>
    <t>tt</t>
  </si>
  <si>
    <t>DNE?</t>
  </si>
  <si>
    <t>Team 1</t>
  </si>
  <si>
    <t>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</si>
</sst>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;0.00"/>
    <numFmt numFmtId="165" formatCode="0.000000000000000%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rgb="FFFFFF00"/>
      <name val="Consolas"/>
      <family val="2"/>
    </font>
    <font>
      <sz val="12"/>
      <color rgb="FFFFFF00"/>
      <name val="Consolas"/>
      <family val="2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9"/>
      <color theme="1"/>
      <name val="Aptos Narrow"/>
      <scheme val="minor"/>
    </font>
    <font>
      <sz val="12"/>
      <color theme="2"/>
      <name val="Aptos Narrow"/>
      <family val="2"/>
      <scheme val="minor"/>
    </font>
    <font>
      <i/>
      <sz val="12"/>
      <color theme="1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E8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5FF"/>
        <bgColor indexed="64"/>
      </patternFill>
    </fill>
    <fill>
      <patternFill patternType="solid">
        <fgColor rgb="FFE6F5FA"/>
        <bgColor indexed="64"/>
      </patternFill>
    </fill>
    <fill>
      <patternFill patternType="solid">
        <fgColor rgb="FFE9E9C0"/>
        <bgColor indexed="64"/>
      </patternFill>
    </fill>
    <fill>
      <patternFill patternType="solid">
        <fgColor rgb="FFFBEAE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BF2D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E2D6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4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0" xfId="0" applyFon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4" fillId="0" borderId="12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0" xfId="0" applyFont="1"/>
    <xf numFmtId="0" fontId="2" fillId="0" borderId="26" xfId="0" applyFont="1" applyBorder="1"/>
    <xf numFmtId="0" fontId="3" fillId="0" borderId="30" xfId="0" applyFont="1" applyBorder="1"/>
    <xf numFmtId="0" fontId="3" fillId="7" borderId="40" xfId="0" applyFont="1" applyFill="1" applyBorder="1" applyAlignment="1">
      <alignment horizontal="center"/>
    </xf>
    <xf numFmtId="9" fontId="3" fillId="7" borderId="18" xfId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9" fontId="3" fillId="7" borderId="17" xfId="1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3" fillId="8" borderId="40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3" fillId="9" borderId="40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164" fontId="3" fillId="10" borderId="18" xfId="1" applyNumberFormat="1" applyFont="1" applyFill="1" applyBorder="1" applyAlignment="1">
      <alignment horizontal="center"/>
    </xf>
    <xf numFmtId="164" fontId="3" fillId="10" borderId="17" xfId="1" applyNumberFormat="1" applyFont="1" applyFill="1" applyBorder="1" applyAlignment="1">
      <alignment horizontal="center"/>
    </xf>
    <xf numFmtId="9" fontId="0" fillId="12" borderId="17" xfId="1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wrapText="1"/>
    </xf>
    <xf numFmtId="0" fontId="2" fillId="0" borderId="48" xfId="0" applyFont="1" applyBorder="1" applyAlignment="1">
      <alignment horizontal="center"/>
    </xf>
    <xf numFmtId="0" fontId="0" fillId="12" borderId="0" xfId="0" applyFill="1"/>
    <xf numFmtId="0" fontId="0" fillId="9" borderId="0" xfId="0" applyFill="1"/>
    <xf numFmtId="20" fontId="0" fillId="9" borderId="0" xfId="0" applyNumberFormat="1" applyFill="1"/>
    <xf numFmtId="0" fontId="2" fillId="12" borderId="21" xfId="0" applyFont="1" applyFill="1" applyBorder="1" applyAlignment="1">
      <alignment horizontal="center"/>
    </xf>
    <xf numFmtId="0" fontId="2" fillId="7" borderId="50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27" xfId="0" applyFont="1" applyBorder="1"/>
    <xf numFmtId="9" fontId="3" fillId="7" borderId="21" xfId="1" applyFont="1" applyFill="1" applyBorder="1" applyAlignment="1">
      <alignment horizontal="center"/>
    </xf>
    <xf numFmtId="0" fontId="3" fillId="8" borderId="21" xfId="0" applyFont="1" applyFill="1" applyBorder="1" applyAlignment="1">
      <alignment horizontal="center"/>
    </xf>
    <xf numFmtId="9" fontId="6" fillId="0" borderId="20" xfId="1" applyFont="1" applyBorder="1" applyAlignment="1">
      <alignment horizontal="center"/>
    </xf>
    <xf numFmtId="9" fontId="6" fillId="0" borderId="3" xfId="1" applyFont="1" applyBorder="1" applyAlignment="1">
      <alignment horizontal="center"/>
    </xf>
    <xf numFmtId="9" fontId="6" fillId="0" borderId="4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0" xfId="0" applyBorder="1"/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9" fontId="2" fillId="2" borderId="47" xfId="1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9" fontId="0" fillId="2" borderId="31" xfId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3" fillId="15" borderId="19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9" fontId="3" fillId="15" borderId="19" xfId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9" fontId="6" fillId="0" borderId="33" xfId="1" applyFont="1" applyBorder="1" applyAlignment="1">
      <alignment horizontal="center"/>
    </xf>
    <xf numFmtId="9" fontId="6" fillId="0" borderId="9" xfId="1" applyFont="1" applyBorder="1" applyAlignment="1">
      <alignment horizontal="center"/>
    </xf>
    <xf numFmtId="0" fontId="3" fillId="9" borderId="21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164" fontId="3" fillId="15" borderId="52" xfId="1" applyNumberFormat="1" applyFont="1" applyFill="1" applyBorder="1" applyAlignment="1">
      <alignment horizontal="center"/>
    </xf>
    <xf numFmtId="9" fontId="6" fillId="0" borderId="10" xfId="1" applyFont="1" applyBorder="1" applyAlignment="1">
      <alignment horizontal="center"/>
    </xf>
    <xf numFmtId="164" fontId="3" fillId="15" borderId="19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15" borderId="52" xfId="0" applyFont="1" applyFill="1" applyBorder="1" applyAlignment="1">
      <alignment horizontal="center"/>
    </xf>
    <xf numFmtId="0" fontId="2" fillId="15" borderId="33" xfId="0" applyFont="1" applyFill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15" borderId="36" xfId="0" applyFont="1" applyFill="1" applyBorder="1" applyAlignment="1">
      <alignment horizontal="center"/>
    </xf>
    <xf numFmtId="9" fontId="0" fillId="12" borderId="21" xfId="1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9" fontId="3" fillId="7" borderId="31" xfId="1" applyFont="1" applyFill="1" applyBorder="1" applyAlignment="1">
      <alignment horizontal="center"/>
    </xf>
    <xf numFmtId="164" fontId="3" fillId="10" borderId="19" xfId="1" applyNumberFormat="1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4" xfId="0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0" fillId="0" borderId="16" xfId="0" applyBorder="1"/>
    <xf numFmtId="0" fontId="0" fillId="0" borderId="21" xfId="0" applyBorder="1"/>
    <xf numFmtId="0" fontId="0" fillId="0" borderId="57" xfId="0" applyBorder="1"/>
    <xf numFmtId="0" fontId="0" fillId="0" borderId="44" xfId="0" applyBorder="1"/>
    <xf numFmtId="0" fontId="0" fillId="0" borderId="31" xfId="0" applyBorder="1"/>
    <xf numFmtId="0" fontId="0" fillId="0" borderId="28" xfId="0" applyBorder="1"/>
    <xf numFmtId="0" fontId="0" fillId="0" borderId="22" xfId="0" applyBorder="1"/>
    <xf numFmtId="0" fontId="3" fillId="8" borderId="31" xfId="0" applyFont="1" applyFill="1" applyBorder="1" applyAlignment="1">
      <alignment horizontal="center"/>
    </xf>
    <xf numFmtId="0" fontId="3" fillId="9" borderId="31" xfId="0" applyFont="1" applyFill="1" applyBorder="1" applyAlignment="1">
      <alignment horizontal="center"/>
    </xf>
    <xf numFmtId="9" fontId="0" fillId="12" borderId="31" xfId="1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3" fillId="0" borderId="47" xfId="0" applyFon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17" borderId="0" xfId="0" applyFont="1" applyFill="1"/>
    <xf numFmtId="0" fontId="0" fillId="16" borderId="58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7" borderId="50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0" fontId="9" fillId="12" borderId="21" xfId="0" applyFont="1" applyFill="1" applyBorder="1" applyAlignment="1">
      <alignment horizontal="center"/>
    </xf>
    <xf numFmtId="0" fontId="0" fillId="0" borderId="36" xfId="0" quotePrefix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164" fontId="2" fillId="10" borderId="52" xfId="1" applyNumberFormat="1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2" fillId="12" borderId="17" xfId="0" applyNumberFormat="1" applyFont="1" applyFill="1" applyBorder="1" applyAlignment="1">
      <alignment horizontal="center"/>
    </xf>
    <xf numFmtId="0" fontId="7" fillId="17" borderId="9" xfId="0" applyFont="1" applyFill="1" applyBorder="1"/>
    <xf numFmtId="0" fontId="2" fillId="0" borderId="9" xfId="0" applyFont="1" applyBorder="1" applyAlignment="1">
      <alignment horizontal="center"/>
    </xf>
    <xf numFmtId="0" fontId="2" fillId="16" borderId="61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0" fontId="2" fillId="15" borderId="51" xfId="0" applyFont="1" applyFill="1" applyBorder="1" applyAlignment="1">
      <alignment horizontal="center"/>
    </xf>
    <xf numFmtId="0" fontId="9" fillId="0" borderId="20" xfId="0" applyFont="1" applyBorder="1"/>
    <xf numFmtId="0" fontId="9" fillId="0" borderId="48" xfId="0" applyFont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/>
    </xf>
    <xf numFmtId="0" fontId="9" fillId="18" borderId="3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7" borderId="50" xfId="0" applyFont="1" applyFill="1" applyBorder="1" applyAlignment="1">
      <alignment horizontal="center"/>
    </xf>
    <xf numFmtId="0" fontId="10" fillId="7" borderId="29" xfId="0" applyFont="1" applyFill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9" borderId="17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12" borderId="21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0" fillId="0" borderId="0" xfId="0" applyAlignment="1">
      <alignment wrapText="1"/>
    </xf>
    <xf numFmtId="0" fontId="11" fillId="0" borderId="2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7" borderId="50" xfId="0" applyFont="1" applyFill="1" applyBorder="1" applyAlignment="1">
      <alignment horizontal="center"/>
    </xf>
    <xf numFmtId="0" fontId="11" fillId="7" borderId="29" xfId="0" applyFont="1" applyFill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8" borderId="21" xfId="0" applyFont="1" applyFill="1" applyBorder="1" applyAlignment="1">
      <alignment horizontal="center"/>
    </xf>
    <xf numFmtId="0" fontId="11" fillId="9" borderId="21" xfId="0" applyFont="1" applyFill="1" applyBorder="1" applyAlignment="1">
      <alignment horizontal="center"/>
    </xf>
    <xf numFmtId="0" fontId="11" fillId="10" borderId="21" xfId="0" applyFont="1" applyFill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9" fontId="2" fillId="12" borderId="21" xfId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9" fontId="2" fillId="7" borderId="35" xfId="0" applyNumberFormat="1" applyFont="1" applyFill="1" applyBorder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quotePrefix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2" fillId="7" borderId="67" xfId="0" applyFont="1" applyFill="1" applyBorder="1" applyAlignment="1">
      <alignment horizontal="center"/>
    </xf>
    <xf numFmtId="9" fontId="2" fillId="7" borderId="65" xfId="0" applyNumberFormat="1" applyFont="1" applyFill="1" applyBorder="1" applyAlignment="1">
      <alignment horizontal="center"/>
    </xf>
    <xf numFmtId="0" fontId="2" fillId="8" borderId="68" xfId="0" applyFont="1" applyFill="1" applyBorder="1" applyAlignment="1">
      <alignment horizontal="center"/>
    </xf>
    <xf numFmtId="0" fontId="2" fillId="9" borderId="68" xfId="0" applyFont="1" applyFill="1" applyBorder="1" applyAlignment="1">
      <alignment horizontal="center"/>
    </xf>
    <xf numFmtId="164" fontId="2" fillId="10" borderId="68" xfId="1" applyNumberFormat="1" applyFont="1" applyFill="1" applyBorder="1" applyAlignment="1">
      <alignment horizontal="center"/>
    </xf>
    <xf numFmtId="9" fontId="2" fillId="12" borderId="68" xfId="0" applyNumberFormat="1" applyFont="1" applyFill="1" applyBorder="1" applyAlignment="1">
      <alignment horizontal="center"/>
    </xf>
    <xf numFmtId="0" fontId="2" fillId="6" borderId="68" xfId="0" applyFont="1" applyFill="1" applyBorder="1" applyAlignment="1">
      <alignment horizontal="center"/>
    </xf>
    <xf numFmtId="0" fontId="2" fillId="0" borderId="62" xfId="0" applyFont="1" applyBorder="1" applyAlignment="1">
      <alignment horizontal="center"/>
    </xf>
    <xf numFmtId="9" fontId="3" fillId="0" borderId="63" xfId="1" applyFont="1" applyBorder="1" applyAlignment="1">
      <alignment horizontal="center"/>
    </xf>
    <xf numFmtId="9" fontId="3" fillId="0" borderId="64" xfId="1" applyFont="1" applyBorder="1" applyAlignment="1">
      <alignment horizontal="center"/>
    </xf>
    <xf numFmtId="9" fontId="3" fillId="0" borderId="28" xfId="1" applyFont="1" applyBorder="1" applyAlignment="1">
      <alignment horizontal="center"/>
    </xf>
    <xf numFmtId="9" fontId="3" fillId="0" borderId="0" xfId="1" applyFont="1" applyAlignment="1">
      <alignment horizontal="center"/>
    </xf>
    <xf numFmtId="9" fontId="0" fillId="0" borderId="30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14" fontId="0" fillId="0" borderId="70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quotePrefix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2" fillId="7" borderId="74" xfId="0" applyFont="1" applyFill="1" applyBorder="1" applyAlignment="1">
      <alignment horizontal="center"/>
    </xf>
    <xf numFmtId="9" fontId="2" fillId="7" borderId="72" xfId="0" applyNumberFormat="1" applyFont="1" applyFill="1" applyBorder="1" applyAlignment="1">
      <alignment horizontal="center"/>
    </xf>
    <xf numFmtId="0" fontId="2" fillId="8" borderId="75" xfId="0" applyFont="1" applyFill="1" applyBorder="1" applyAlignment="1">
      <alignment horizontal="center"/>
    </xf>
    <xf numFmtId="0" fontId="2" fillId="9" borderId="75" xfId="0" applyFont="1" applyFill="1" applyBorder="1" applyAlignment="1">
      <alignment horizontal="center"/>
    </xf>
    <xf numFmtId="164" fontId="2" fillId="10" borderId="75" xfId="1" applyNumberFormat="1" applyFont="1" applyFill="1" applyBorder="1" applyAlignment="1">
      <alignment horizontal="center"/>
    </xf>
    <xf numFmtId="9" fontId="2" fillId="12" borderId="75" xfId="0" applyNumberFormat="1" applyFont="1" applyFill="1" applyBorder="1" applyAlignment="1">
      <alignment horizontal="center"/>
    </xf>
    <xf numFmtId="0" fontId="2" fillId="6" borderId="75" xfId="0" applyFont="1" applyFill="1" applyBorder="1" applyAlignment="1">
      <alignment horizontal="center"/>
    </xf>
    <xf numFmtId="0" fontId="2" fillId="0" borderId="69" xfId="0" applyFont="1" applyBorder="1" applyAlignment="1">
      <alignment horizontal="center"/>
    </xf>
    <xf numFmtId="164" fontId="2" fillId="10" borderId="19" xfId="1" applyNumberFormat="1" applyFont="1" applyFill="1" applyBorder="1" applyAlignment="1">
      <alignment horizontal="center"/>
    </xf>
    <xf numFmtId="9" fontId="3" fillId="0" borderId="70" xfId="1" applyFont="1" applyBorder="1" applyAlignment="1">
      <alignment horizontal="center"/>
    </xf>
    <xf numFmtId="9" fontId="3" fillId="0" borderId="71" xfId="1" applyFont="1" applyBorder="1" applyAlignment="1">
      <alignment horizontal="center"/>
    </xf>
    <xf numFmtId="9" fontId="11" fillId="0" borderId="20" xfId="0" applyNumberFormat="1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9" fontId="2" fillId="7" borderId="36" xfId="0" applyNumberFormat="1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9" fontId="3" fillId="0" borderId="33" xfId="1" applyFont="1" applyBorder="1" applyAlignment="1">
      <alignment horizontal="center"/>
    </xf>
    <xf numFmtId="9" fontId="3" fillId="0" borderId="9" xfId="1" applyFont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9" fontId="2" fillId="12" borderId="19" xfId="0" applyNumberFormat="1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3" fillId="0" borderId="66" xfId="1" applyFont="1" applyBorder="1" applyAlignment="1">
      <alignment horizontal="center"/>
    </xf>
    <xf numFmtId="9" fontId="3" fillId="0" borderId="10" xfId="1" applyFont="1" applyBorder="1" applyAlignment="1">
      <alignment horizontal="center"/>
    </xf>
    <xf numFmtId="14" fontId="0" fillId="0" borderId="77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quotePrefix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2" fillId="7" borderId="81" xfId="0" applyFont="1" applyFill="1" applyBorder="1" applyAlignment="1">
      <alignment horizontal="center"/>
    </xf>
    <xf numFmtId="9" fontId="2" fillId="7" borderId="79" xfId="0" applyNumberFormat="1" applyFont="1" applyFill="1" applyBorder="1" applyAlignment="1">
      <alignment horizontal="center"/>
    </xf>
    <xf numFmtId="0" fontId="2" fillId="8" borderId="82" xfId="0" applyFont="1" applyFill="1" applyBorder="1" applyAlignment="1">
      <alignment horizontal="center"/>
    </xf>
    <xf numFmtId="0" fontId="2" fillId="9" borderId="82" xfId="0" applyFont="1" applyFill="1" applyBorder="1" applyAlignment="1">
      <alignment horizontal="center"/>
    </xf>
    <xf numFmtId="164" fontId="2" fillId="10" borderId="82" xfId="1" applyNumberFormat="1" applyFont="1" applyFill="1" applyBorder="1" applyAlignment="1">
      <alignment horizontal="center"/>
    </xf>
    <xf numFmtId="9" fontId="2" fillId="12" borderId="82" xfId="0" applyNumberFormat="1" applyFont="1" applyFill="1" applyBorder="1" applyAlignment="1">
      <alignment horizontal="center"/>
    </xf>
    <xf numFmtId="0" fontId="2" fillId="6" borderId="82" xfId="0" applyFont="1" applyFill="1" applyBorder="1" applyAlignment="1">
      <alignment horizontal="center"/>
    </xf>
    <xf numFmtId="0" fontId="2" fillId="0" borderId="76" xfId="0" applyFont="1" applyBorder="1" applyAlignment="1">
      <alignment horizontal="center"/>
    </xf>
    <xf numFmtId="9" fontId="0" fillId="0" borderId="0" xfId="0" applyNumberFormat="1"/>
    <xf numFmtId="165" fontId="0" fillId="0" borderId="0" xfId="0" applyNumberFormat="1"/>
    <xf numFmtId="9" fontId="3" fillId="0" borderId="73" xfId="1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9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left" wrapText="1"/>
    </xf>
    <xf numFmtId="0" fontId="0" fillId="12" borderId="0" xfId="0" applyFill="1" applyAlignment="1">
      <alignment horizontal="left" wrapText="1"/>
    </xf>
    <xf numFmtId="0" fontId="0" fillId="6" borderId="4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32" xfId="0" applyFont="1" applyFill="1" applyBorder="1" applyAlignment="1">
      <alignment horizontal="center"/>
    </xf>
    <xf numFmtId="0" fontId="2" fillId="13" borderId="26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3" borderId="32" xfId="0" applyFont="1" applyFill="1" applyBorder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left" wrapText="1"/>
    </xf>
  </cellXfs>
  <cellStyles count="2">
    <cellStyle name="Normal" xfId="0" builtinId="0"/>
    <cellStyle name="Per cent" xfId="1" builtinId="5"/>
  </cellStyles>
  <dxfs count="8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color theme="0" tint="-4.9989318521683403E-2"/>
      </font>
    </dxf>
    <dxf>
      <font>
        <b/>
        <i val="0"/>
        <u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b/>
        <i val="0"/>
        <u val="none"/>
      </font>
    </dxf>
    <dxf>
      <font>
        <b/>
        <i val="0"/>
        <u val="none"/>
      </font>
    </dxf>
    <dxf>
      <font>
        <b/>
        <i val="0"/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b/>
        <i val="0"/>
        <color theme="0" tint="-4.9989318521683403E-2"/>
      </font>
    </dxf>
    <dxf>
      <font>
        <b/>
        <i val="0"/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color theme="0" tint="-4.9989318521683403E-2"/>
      </font>
    </dxf>
    <dxf>
      <font>
        <b/>
        <i val="0"/>
      </font>
    </dxf>
    <dxf>
      <font>
        <b/>
        <i val="0"/>
        <color theme="0" tint="-4.9989318521683403E-2"/>
      </font>
    </dxf>
    <dxf>
      <font>
        <b/>
        <i val="0"/>
        <u val="none"/>
      </font>
    </dxf>
    <dxf>
      <font>
        <b/>
        <i val="0"/>
        <u val="none"/>
      </font>
    </dxf>
    <dxf>
      <font>
        <b/>
        <i val="0"/>
        <color theme="0" tint="-4.9989318521683403E-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4.9989318521683403E-2"/>
      </font>
    </dxf>
    <dxf>
      <font>
        <b/>
        <i val="0"/>
        <color theme="0" tint="-4.9989318521683403E-2"/>
      </font>
    </dxf>
    <dxf>
      <font>
        <b/>
        <i val="0"/>
        <color theme="0" tint="-4.9989318521683403E-2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CE2D6"/>
      <color rgb="FFF7C7AC"/>
      <color rgb="FFE8E8E8"/>
      <color rgb="FFDBF2D0"/>
      <color rgb="FFE9E9C0"/>
      <color rgb="FFE9E9D2"/>
      <color rgb="FFE6F5FA"/>
      <color rgb="FFFBEAE3"/>
      <color rgb="FFFFF5FF"/>
      <color rgb="FFF2C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D7DE-6FF2-444F-8224-0A00B5D788A0}">
  <dimension ref="A1:D51"/>
  <sheetViews>
    <sheetView zoomScale="150" workbookViewId="0">
      <selection activeCell="D12" sqref="D12"/>
    </sheetView>
  </sheetViews>
  <sheetFormatPr baseColWidth="10" defaultColWidth="11" defaultRowHeight="16" x14ac:dyDescent="0.2"/>
  <cols>
    <col min="2" max="2" width="14" bestFit="1" customWidth="1"/>
    <col min="3" max="3" width="12" bestFit="1" customWidth="1"/>
    <col min="4" max="4" width="116.6640625" bestFit="1" customWidth="1"/>
  </cols>
  <sheetData>
    <row r="1" spans="1:3" x14ac:dyDescent="0.2">
      <c r="A1" t="s">
        <v>66</v>
      </c>
    </row>
    <row r="2" spans="1:3" ht="17" thickBot="1" x14ac:dyDescent="0.25"/>
    <row r="3" spans="1:3" x14ac:dyDescent="0.2">
      <c r="A3" s="126" t="s">
        <v>121</v>
      </c>
    </row>
    <row r="4" spans="1:3" x14ac:dyDescent="0.2">
      <c r="A4" s="124">
        <v>1</v>
      </c>
    </row>
    <row r="5" spans="1:3" x14ac:dyDescent="0.2">
      <c r="A5" s="124">
        <v>2</v>
      </c>
    </row>
    <row r="6" spans="1:3" x14ac:dyDescent="0.2">
      <c r="A6" s="124">
        <v>3</v>
      </c>
    </row>
    <row r="7" spans="1:3" x14ac:dyDescent="0.2">
      <c r="A7" s="124">
        <v>4</v>
      </c>
    </row>
    <row r="8" spans="1:3" ht="17" thickBot="1" x14ac:dyDescent="0.25">
      <c r="A8" s="125">
        <v>5</v>
      </c>
    </row>
    <row r="9" spans="1:3" ht="17" thickBot="1" x14ac:dyDescent="0.25"/>
    <row r="10" spans="1:3" x14ac:dyDescent="0.2">
      <c r="A10" s="127" t="s">
        <v>0</v>
      </c>
      <c r="B10" s="128" t="s">
        <v>1</v>
      </c>
      <c r="C10" s="129" t="s">
        <v>2</v>
      </c>
    </row>
    <row r="11" spans="1:3" x14ac:dyDescent="0.2">
      <c r="A11" s="130" t="s">
        <v>3</v>
      </c>
      <c r="B11" s="22">
        <v>1</v>
      </c>
      <c r="C11" s="131" t="s">
        <v>4</v>
      </c>
    </row>
    <row r="12" spans="1:3" x14ac:dyDescent="0.2">
      <c r="A12" s="130" t="s">
        <v>154</v>
      </c>
      <c r="B12" s="22">
        <v>2</v>
      </c>
      <c r="C12" s="131" t="s">
        <v>155</v>
      </c>
    </row>
    <row r="13" spans="1:3" x14ac:dyDescent="0.2">
      <c r="A13" s="130" t="s">
        <v>60</v>
      </c>
      <c r="B13" s="22">
        <v>3</v>
      </c>
      <c r="C13" s="131" t="s">
        <v>157</v>
      </c>
    </row>
    <row r="14" spans="1:3" x14ac:dyDescent="0.2">
      <c r="A14" s="130" t="s">
        <v>10</v>
      </c>
      <c r="B14" s="22">
        <v>5</v>
      </c>
      <c r="C14" s="131" t="s">
        <v>11</v>
      </c>
    </row>
    <row r="15" spans="1:3" x14ac:dyDescent="0.2">
      <c r="A15" s="130" t="s">
        <v>12</v>
      </c>
      <c r="B15" s="22">
        <v>6</v>
      </c>
      <c r="C15" s="131" t="s">
        <v>158</v>
      </c>
    </row>
    <row r="16" spans="1:3" x14ac:dyDescent="0.2">
      <c r="A16" s="130" t="s">
        <v>6</v>
      </c>
      <c r="B16" s="22">
        <v>7</v>
      </c>
      <c r="C16" s="131" t="s">
        <v>156</v>
      </c>
    </row>
    <row r="17" spans="1:4" x14ac:dyDescent="0.2">
      <c r="A17" s="130" t="s">
        <v>159</v>
      </c>
      <c r="B17" s="22">
        <v>11</v>
      </c>
      <c r="C17" s="131" t="s">
        <v>160</v>
      </c>
    </row>
    <row r="18" spans="1:4" x14ac:dyDescent="0.2">
      <c r="A18" s="130" t="s">
        <v>5</v>
      </c>
      <c r="B18" s="22">
        <v>12</v>
      </c>
      <c r="C18" s="131" t="s">
        <v>161</v>
      </c>
    </row>
    <row r="19" spans="1:4" x14ac:dyDescent="0.2">
      <c r="A19" s="130" t="s">
        <v>163</v>
      </c>
      <c r="B19" s="22">
        <v>13</v>
      </c>
      <c r="C19" s="131" t="s">
        <v>162</v>
      </c>
    </row>
    <row r="20" spans="1:4" x14ac:dyDescent="0.2">
      <c r="A20" s="130" t="s">
        <v>164</v>
      </c>
      <c r="B20" s="22">
        <v>23</v>
      </c>
      <c r="C20" s="131" t="s">
        <v>165</v>
      </c>
    </row>
    <row r="21" spans="1:4" x14ac:dyDescent="0.2">
      <c r="A21" s="291" t="s">
        <v>7</v>
      </c>
      <c r="B21" s="292">
        <v>14</v>
      </c>
      <c r="C21" s="293" t="s">
        <v>166</v>
      </c>
    </row>
    <row r="22" spans="1:4" x14ac:dyDescent="0.2">
      <c r="A22" s="291" t="s">
        <v>163</v>
      </c>
      <c r="B22" s="292">
        <v>15</v>
      </c>
      <c r="C22" s="293" t="s">
        <v>167</v>
      </c>
    </row>
    <row r="23" spans="1:4" x14ac:dyDescent="0.2">
      <c r="A23" s="291" t="s">
        <v>168</v>
      </c>
      <c r="B23" s="292">
        <v>39</v>
      </c>
      <c r="C23" s="293" t="s">
        <v>169</v>
      </c>
    </row>
    <row r="24" spans="1:4" x14ac:dyDescent="0.2">
      <c r="A24" s="291" t="s">
        <v>8</v>
      </c>
      <c r="B24" s="292">
        <v>20</v>
      </c>
      <c r="C24" s="293" t="s">
        <v>170</v>
      </c>
    </row>
    <row r="25" spans="1:4" x14ac:dyDescent="0.2">
      <c r="A25" s="130" t="s">
        <v>171</v>
      </c>
      <c r="B25" s="22">
        <v>88</v>
      </c>
      <c r="C25" s="132" t="s">
        <v>13</v>
      </c>
      <c r="D25" s="33"/>
    </row>
    <row r="26" spans="1:4" ht="17" thickBot="1" x14ac:dyDescent="0.25">
      <c r="A26" s="133" t="s">
        <v>14</v>
      </c>
      <c r="B26" s="134">
        <v>99</v>
      </c>
      <c r="C26" s="135" t="s">
        <v>15</v>
      </c>
    </row>
    <row r="27" spans="1:4" ht="17" thickBot="1" x14ac:dyDescent="0.25"/>
    <row r="28" spans="1:4" x14ac:dyDescent="0.2">
      <c r="A28" s="136" t="s">
        <v>16</v>
      </c>
      <c r="B28" s="137" t="s">
        <v>17</v>
      </c>
      <c r="C28" s="137" t="s">
        <v>18</v>
      </c>
      <c r="D28" s="138" t="s">
        <v>19</v>
      </c>
    </row>
    <row r="29" spans="1:4" x14ac:dyDescent="0.2">
      <c r="A29" s="139" t="s">
        <v>20</v>
      </c>
      <c r="B29" s="2" t="s">
        <v>21</v>
      </c>
      <c r="C29" s="2" t="s">
        <v>22</v>
      </c>
      <c r="D29" s="140" t="s">
        <v>23</v>
      </c>
    </row>
    <row r="30" spans="1:4" x14ac:dyDescent="0.2">
      <c r="A30" s="139" t="s">
        <v>24</v>
      </c>
      <c r="B30" s="2" t="s">
        <v>21</v>
      </c>
      <c r="C30" s="2" t="s">
        <v>25</v>
      </c>
      <c r="D30" s="140" t="s">
        <v>26</v>
      </c>
    </row>
    <row r="31" spans="1:4" x14ac:dyDescent="0.2">
      <c r="A31" s="139" t="s">
        <v>27</v>
      </c>
      <c r="B31" s="2" t="s">
        <v>21</v>
      </c>
      <c r="C31" s="2" t="s">
        <v>28</v>
      </c>
      <c r="D31" s="140" t="s">
        <v>29</v>
      </c>
    </row>
    <row r="32" spans="1:4" x14ac:dyDescent="0.2">
      <c r="A32" s="139" t="s">
        <v>30</v>
      </c>
      <c r="B32" s="2" t="s">
        <v>31</v>
      </c>
      <c r="C32" s="2" t="s">
        <v>32</v>
      </c>
      <c r="D32" s="140" t="s">
        <v>33</v>
      </c>
    </row>
    <row r="33" spans="1:4" x14ac:dyDescent="0.2">
      <c r="A33" s="139" t="s">
        <v>34</v>
      </c>
      <c r="B33" s="2" t="s">
        <v>31</v>
      </c>
      <c r="C33" s="2" t="s">
        <v>35</v>
      </c>
      <c r="D33" s="140" t="s">
        <v>36</v>
      </c>
    </row>
    <row r="34" spans="1:4" x14ac:dyDescent="0.2">
      <c r="A34" s="139" t="s">
        <v>37</v>
      </c>
      <c r="B34" s="2" t="s">
        <v>31</v>
      </c>
      <c r="C34" s="2" t="s">
        <v>28</v>
      </c>
      <c r="D34" s="140" t="s">
        <v>38</v>
      </c>
    </row>
    <row r="35" spans="1:4" x14ac:dyDescent="0.2">
      <c r="A35" s="139" t="s">
        <v>39</v>
      </c>
      <c r="B35" s="2" t="s">
        <v>40</v>
      </c>
      <c r="C35" s="2" t="s">
        <v>32</v>
      </c>
      <c r="D35" s="140"/>
    </row>
    <row r="36" spans="1:4" x14ac:dyDescent="0.2">
      <c r="A36" s="139" t="s">
        <v>41</v>
      </c>
      <c r="B36" s="2" t="s">
        <v>40</v>
      </c>
      <c r="C36" s="2" t="s">
        <v>28</v>
      </c>
      <c r="D36" s="140"/>
    </row>
    <row r="37" spans="1:4" x14ac:dyDescent="0.2">
      <c r="A37" s="139" t="s">
        <v>42</v>
      </c>
      <c r="B37" s="2" t="s">
        <v>40</v>
      </c>
      <c r="C37" s="2" t="s">
        <v>35</v>
      </c>
      <c r="D37" s="140"/>
    </row>
    <row r="38" spans="1:4" x14ac:dyDescent="0.2">
      <c r="A38" s="139" t="s">
        <v>43</v>
      </c>
      <c r="B38" s="2" t="s">
        <v>44</v>
      </c>
      <c r="C38" s="2" t="s">
        <v>45</v>
      </c>
      <c r="D38" s="140" t="s">
        <v>143</v>
      </c>
    </row>
    <row r="39" spans="1:4" x14ac:dyDescent="0.2">
      <c r="A39" s="139" t="s">
        <v>46</v>
      </c>
      <c r="B39" s="2" t="s">
        <v>44</v>
      </c>
      <c r="C39" s="2" t="s">
        <v>47</v>
      </c>
      <c r="D39" s="140"/>
    </row>
    <row r="40" spans="1:4" x14ac:dyDescent="0.2">
      <c r="A40" s="139" t="s">
        <v>48</v>
      </c>
      <c r="B40" s="2" t="s">
        <v>44</v>
      </c>
      <c r="C40" s="2" t="s">
        <v>49</v>
      </c>
      <c r="D40" s="140"/>
    </row>
    <row r="41" spans="1:4" x14ac:dyDescent="0.2">
      <c r="A41" s="139" t="s">
        <v>136</v>
      </c>
      <c r="B41" s="2" t="s">
        <v>135</v>
      </c>
      <c r="C41" s="2" t="s">
        <v>45</v>
      </c>
      <c r="D41" s="140" t="s">
        <v>142</v>
      </c>
    </row>
    <row r="42" spans="1:4" x14ac:dyDescent="0.2">
      <c r="A42" s="139" t="s">
        <v>137</v>
      </c>
      <c r="B42" s="2" t="s">
        <v>135</v>
      </c>
      <c r="C42" s="2" t="s">
        <v>47</v>
      </c>
      <c r="D42" s="140" t="s">
        <v>142</v>
      </c>
    </row>
    <row r="43" spans="1:4" x14ac:dyDescent="0.2">
      <c r="A43" s="139" t="s">
        <v>138</v>
      </c>
      <c r="B43" s="2" t="s">
        <v>135</v>
      </c>
      <c r="C43" s="2" t="s">
        <v>49</v>
      </c>
      <c r="D43" s="140" t="s">
        <v>172</v>
      </c>
    </row>
    <row r="44" spans="1:4" x14ac:dyDescent="0.2">
      <c r="A44" s="139" t="s">
        <v>50</v>
      </c>
      <c r="B44" s="2" t="s">
        <v>28</v>
      </c>
      <c r="C44" s="2" t="s">
        <v>51</v>
      </c>
      <c r="D44" s="140"/>
    </row>
    <row r="45" spans="1:4" x14ac:dyDescent="0.2">
      <c r="A45" s="139" t="s">
        <v>52</v>
      </c>
      <c r="B45" s="2" t="s">
        <v>53</v>
      </c>
      <c r="C45" s="120">
        <v>0</v>
      </c>
      <c r="D45" s="140"/>
    </row>
    <row r="46" spans="1:4" x14ac:dyDescent="0.2">
      <c r="A46" s="139" t="s">
        <v>54</v>
      </c>
      <c r="B46" s="2" t="s">
        <v>53</v>
      </c>
      <c r="C46" s="120">
        <v>1</v>
      </c>
      <c r="D46" s="140"/>
    </row>
    <row r="47" spans="1:4" x14ac:dyDescent="0.2">
      <c r="A47" s="139" t="s">
        <v>55</v>
      </c>
      <c r="B47" s="2" t="s">
        <v>53</v>
      </c>
      <c r="C47" s="120">
        <v>2</v>
      </c>
      <c r="D47" s="140"/>
    </row>
    <row r="48" spans="1:4" x14ac:dyDescent="0.2">
      <c r="A48" s="139" t="s">
        <v>56</v>
      </c>
      <c r="B48" s="2" t="s">
        <v>53</v>
      </c>
      <c r="C48" s="120">
        <v>3</v>
      </c>
      <c r="D48" s="140"/>
    </row>
    <row r="49" spans="1:4" x14ac:dyDescent="0.2">
      <c r="A49" s="139" t="s">
        <v>9</v>
      </c>
      <c r="B49" s="2" t="s">
        <v>57</v>
      </c>
      <c r="C49" s="2" t="s">
        <v>58</v>
      </c>
      <c r="D49" s="140" t="s">
        <v>59</v>
      </c>
    </row>
    <row r="50" spans="1:4" x14ac:dyDescent="0.2">
      <c r="A50" s="139" t="s">
        <v>60</v>
      </c>
      <c r="B50" s="2" t="s">
        <v>57</v>
      </c>
      <c r="C50" s="2" t="s">
        <v>61</v>
      </c>
      <c r="D50" s="140" t="s">
        <v>62</v>
      </c>
    </row>
    <row r="51" spans="1:4" ht="17" thickBot="1" x14ac:dyDescent="0.25">
      <c r="A51" s="141" t="s">
        <v>63</v>
      </c>
      <c r="B51" s="142" t="s">
        <v>64</v>
      </c>
      <c r="C51" s="142" t="s">
        <v>32</v>
      </c>
      <c r="D51" s="14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81F1-7A4E-8C46-8BE8-64D7EBEEA2E3}">
  <dimension ref="A1:G956"/>
  <sheetViews>
    <sheetView tabSelected="1" zoomScale="211" workbookViewId="0">
      <selection activeCell="B2" sqref="B2"/>
    </sheetView>
  </sheetViews>
  <sheetFormatPr baseColWidth="10" defaultColWidth="11" defaultRowHeight="16" x14ac:dyDescent="0.2"/>
  <cols>
    <col min="1" max="1" width="4.33203125" style="3" customWidth="1"/>
    <col min="2" max="2" width="9.83203125" style="158" customWidth="1"/>
    <col min="3" max="4" width="5.6640625" style="3" customWidth="1"/>
    <col min="5" max="5" width="11.6640625" style="159" customWidth="1"/>
    <col min="6" max="6" width="11" style="160"/>
    <col min="7" max="7" width="11" style="268"/>
  </cols>
  <sheetData>
    <row r="1" spans="1:7" x14ac:dyDescent="0.2">
      <c r="A1" s="3" t="s">
        <v>67</v>
      </c>
      <c r="B1" s="174" t="s">
        <v>124</v>
      </c>
      <c r="C1" s="175" t="s">
        <v>2</v>
      </c>
      <c r="D1" s="175" t="s">
        <v>18</v>
      </c>
      <c r="E1" s="176" t="s">
        <v>68</v>
      </c>
      <c r="F1" s="177" t="s">
        <v>69</v>
      </c>
      <c r="G1" s="267" t="s">
        <v>18</v>
      </c>
    </row>
    <row r="2" spans="1:7" x14ac:dyDescent="0.2">
      <c r="A2" s="3">
        <v>1</v>
      </c>
      <c r="C2" s="3" t="str">
        <f>IF(B2="","",IF(ISNUMBER(VALUE(_xlfn.TEXTBEFORE(B2," "))),_xlfn.XLOOKUP(VALUE(_xlfn.TEXTBEFORE(B2," ")),Legend!$B$11:$B$26,Legend!$A$11:$A$26,"NOT FOUND",0,1),_xlfn.TEXTBEFORE(B2," ")))</f>
        <v/>
      </c>
      <c r="D2" s="3" t="str">
        <f t="shared" ref="D2:D65" si="0">IF(B2="","",_xlfn.TEXTAFTER(B2," "))</f>
        <v/>
      </c>
      <c r="E2" s="159" t="str">
        <f>IF(C2="","",_xlfn.XLOOKUP(C2,Legend!$A$10:$A$26,Legend!$C$10:$C$26,"NOT FOUND",0,1))</f>
        <v/>
      </c>
      <c r="F2" s="160" t="str">
        <f>IF(C2="","",_xlfn.XLOOKUP(D2,Legend!$A$29:$A$118,Legend!$B$29:$B$118,"NOT FOUND",0,1))</f>
        <v/>
      </c>
      <c r="G2" s="268" t="str">
        <f>IF(C2="","",_xlfn.XLOOKUP(D2,Legend!$A$29:$A$118,Legend!$C$29:$C$118,"NOT FOUND",0,1))</f>
        <v/>
      </c>
    </row>
    <row r="3" spans="1:7" x14ac:dyDescent="0.2">
      <c r="A3" s="3">
        <v>1</v>
      </c>
      <c r="C3" s="3" t="str">
        <f>IF(B3="","",IF(ISNUMBER(VALUE(_xlfn.TEXTBEFORE(B3," "))),_xlfn.XLOOKUP(VALUE(_xlfn.TEXTBEFORE(B3," ")),Legend!$B$11:$B$26,Legend!$A$11:$A$26,"NOT FOUND",0,1),_xlfn.TEXTBEFORE(B3," ")))</f>
        <v/>
      </c>
      <c r="D3" s="3" t="str">
        <f t="shared" si="0"/>
        <v/>
      </c>
      <c r="E3" s="159" t="str">
        <f>IF(C3="","",_xlfn.XLOOKUP(C3,Legend!$A$10:$A$26,Legend!$C$10:$C$26,"NOT FOUND",0,1))</f>
        <v/>
      </c>
      <c r="F3" s="160" t="str">
        <f>IF(C3="","",_xlfn.XLOOKUP(D3,Legend!$A$29:$A$118,Legend!$B$29:$B$118,"NOT FOUND",0,1))</f>
        <v/>
      </c>
      <c r="G3" s="268" t="str">
        <f>IF(C3="","",_xlfn.XLOOKUP(D3,Legend!$A$29:$A$118,Legend!$C$29:$C$118,"NOT FOUND",0,1))</f>
        <v/>
      </c>
    </row>
    <row r="4" spans="1:7" x14ac:dyDescent="0.2">
      <c r="A4" s="3">
        <v>1</v>
      </c>
      <c r="C4" s="3" t="str">
        <f>IF(B4="","",IF(ISNUMBER(VALUE(_xlfn.TEXTBEFORE(B4," "))),_xlfn.XLOOKUP(VALUE(_xlfn.TEXTBEFORE(B4," ")),Legend!$B$11:$B$26,Legend!$A$11:$A$26,"NOT FOUND",0,1),_xlfn.TEXTBEFORE(B4," ")))</f>
        <v/>
      </c>
      <c r="D4" s="3" t="str">
        <f t="shared" si="0"/>
        <v/>
      </c>
      <c r="E4" s="159" t="str">
        <f>IF(C4="","",_xlfn.XLOOKUP(C4,Legend!$A$10:$A$26,Legend!$C$10:$C$26,"NOT FOUND",0,1))</f>
        <v/>
      </c>
      <c r="F4" s="160" t="str">
        <f>IF(C4="","",_xlfn.XLOOKUP(D4,Legend!$A$29:$A$118,Legend!$B$29:$B$118,"NOT FOUND",0,1))</f>
        <v/>
      </c>
      <c r="G4" s="268" t="str">
        <f>IF(C4="","",_xlfn.XLOOKUP(D4,Legend!$A$29:$A$118,Legend!$C$29:$C$118,"NOT FOUND",0,1))</f>
        <v/>
      </c>
    </row>
    <row r="5" spans="1:7" x14ac:dyDescent="0.2">
      <c r="A5" s="3">
        <v>1</v>
      </c>
      <c r="C5" s="3" t="str">
        <f>IF(B5="","",IF(ISNUMBER(VALUE(_xlfn.TEXTBEFORE(B5," "))),_xlfn.XLOOKUP(VALUE(_xlfn.TEXTBEFORE(B5," ")),Legend!$B$11:$B$26,Legend!$A$11:$A$26,"NOT FOUND",0,1),_xlfn.TEXTBEFORE(B5," ")))</f>
        <v/>
      </c>
      <c r="D5" s="3" t="str">
        <f t="shared" si="0"/>
        <v/>
      </c>
      <c r="E5" s="159" t="str">
        <f>IF(C5="","",_xlfn.XLOOKUP(C5,Legend!$A$10:$A$26,Legend!$C$10:$C$26,"NOT FOUND",0,1))</f>
        <v/>
      </c>
      <c r="F5" s="160" t="str">
        <f>IF(C5="","",_xlfn.XLOOKUP(D5,Legend!$A$29:$A$118,Legend!$B$29:$B$118,"NOT FOUND",0,1))</f>
        <v/>
      </c>
      <c r="G5" s="268" t="str">
        <f>IF(C5="","",_xlfn.XLOOKUP(D5,Legend!$A$29:$A$118,Legend!$C$29:$C$118,"NOT FOUND",0,1))</f>
        <v/>
      </c>
    </row>
    <row r="6" spans="1:7" x14ac:dyDescent="0.2">
      <c r="A6" s="3">
        <v>1</v>
      </c>
      <c r="C6" s="3" t="str">
        <f>IF(B6="","",IF(ISNUMBER(VALUE(_xlfn.TEXTBEFORE(B6," "))),_xlfn.XLOOKUP(VALUE(_xlfn.TEXTBEFORE(B6," ")),Legend!$B$11:$B$26,Legend!$A$11:$A$26,"NOT FOUND",0,1),_xlfn.TEXTBEFORE(B6," ")))</f>
        <v/>
      </c>
      <c r="D6" s="3" t="str">
        <f t="shared" si="0"/>
        <v/>
      </c>
      <c r="E6" s="159" t="str">
        <f>IF(C6="","",_xlfn.XLOOKUP(C6,Legend!$A$10:$A$26,Legend!$C$10:$C$26,"NOT FOUND",0,1))</f>
        <v/>
      </c>
      <c r="F6" s="160" t="str">
        <f>IF(C6="","",_xlfn.XLOOKUP(D6,Legend!$A$29:$A$118,Legend!$B$29:$B$118,"NOT FOUND",0,1))</f>
        <v/>
      </c>
      <c r="G6" s="268" t="str">
        <f>IF(C6="","",_xlfn.XLOOKUP(D6,Legend!$A$29:$A$118,Legend!$C$29:$C$118,"NOT FOUND",0,1))</f>
        <v/>
      </c>
    </row>
    <row r="7" spans="1:7" x14ac:dyDescent="0.2">
      <c r="A7" s="3">
        <v>1</v>
      </c>
      <c r="C7" s="3" t="str">
        <f>IF(B7="","",IF(ISNUMBER(VALUE(_xlfn.TEXTBEFORE(B7," "))),_xlfn.XLOOKUP(VALUE(_xlfn.TEXTBEFORE(B7," ")),Legend!$B$11:$B$26,Legend!$A$11:$A$26,"NOT FOUND",0,1),_xlfn.TEXTBEFORE(B7," ")))</f>
        <v/>
      </c>
      <c r="D7" s="3" t="str">
        <f t="shared" si="0"/>
        <v/>
      </c>
      <c r="E7" s="159" t="str">
        <f>IF(C7="","",_xlfn.XLOOKUP(C7,Legend!$A$10:$A$26,Legend!$C$10:$C$26,"NOT FOUND",0,1))</f>
        <v/>
      </c>
      <c r="F7" s="160" t="str">
        <f>IF(C7="","",_xlfn.XLOOKUP(D7,Legend!$A$29:$A$118,Legend!$B$29:$B$118,"NOT FOUND",0,1))</f>
        <v/>
      </c>
      <c r="G7" s="268" t="str">
        <f>IF(C7="","",_xlfn.XLOOKUP(D7,Legend!$A$29:$A$118,Legend!$C$29:$C$118,"NOT FOUND",0,1))</f>
        <v/>
      </c>
    </row>
    <row r="8" spans="1:7" x14ac:dyDescent="0.2">
      <c r="A8" s="3">
        <v>1</v>
      </c>
      <c r="C8" s="3" t="str">
        <f>IF(B8="","",IF(ISNUMBER(VALUE(_xlfn.TEXTBEFORE(B8," "))),_xlfn.XLOOKUP(VALUE(_xlfn.TEXTBEFORE(B8," ")),Legend!$B$11:$B$26,Legend!$A$11:$A$26,"NOT FOUND",0,1),_xlfn.TEXTBEFORE(B8," ")))</f>
        <v/>
      </c>
      <c r="D8" s="3" t="str">
        <f t="shared" si="0"/>
        <v/>
      </c>
      <c r="E8" s="159" t="str">
        <f>IF(C8="","",_xlfn.XLOOKUP(C8,Legend!$A$10:$A$26,Legend!$C$10:$C$26,"NOT FOUND",0,1))</f>
        <v/>
      </c>
      <c r="F8" s="160" t="str">
        <f>IF(C8="","",_xlfn.XLOOKUP(D8,Legend!$A$29:$A$118,Legend!$B$29:$B$118,"NOT FOUND",0,1))</f>
        <v/>
      </c>
      <c r="G8" s="268" t="str">
        <f>IF(C8="","",_xlfn.XLOOKUP(D8,Legend!$A$29:$A$118,Legend!$C$29:$C$118,"NOT FOUND",0,1))</f>
        <v/>
      </c>
    </row>
    <row r="9" spans="1:7" x14ac:dyDescent="0.2">
      <c r="A9" s="3">
        <v>1</v>
      </c>
      <c r="C9" s="3" t="str">
        <f>IF(B9="","",IF(ISNUMBER(VALUE(_xlfn.TEXTBEFORE(B9," "))),_xlfn.XLOOKUP(VALUE(_xlfn.TEXTBEFORE(B9," ")),Legend!$B$11:$B$26,Legend!$A$11:$A$26,"NOT FOUND",0,1),_xlfn.TEXTBEFORE(B9," ")))</f>
        <v/>
      </c>
      <c r="D9" s="3" t="str">
        <f t="shared" si="0"/>
        <v/>
      </c>
      <c r="E9" s="159" t="str">
        <f>IF(C9="","",_xlfn.XLOOKUP(C9,Legend!$A$10:$A$26,Legend!$C$10:$C$26,"NOT FOUND",0,1))</f>
        <v/>
      </c>
      <c r="F9" s="160" t="str">
        <f>IF(C9="","",_xlfn.XLOOKUP(D9,Legend!$A$29:$A$118,Legend!$B$29:$B$118,"NOT FOUND",0,1))</f>
        <v/>
      </c>
      <c r="G9" s="268" t="str">
        <f>IF(C9="","",_xlfn.XLOOKUP(D9,Legend!$A$29:$A$118,Legend!$C$29:$C$118,"NOT FOUND",0,1))</f>
        <v/>
      </c>
    </row>
    <row r="10" spans="1:7" x14ac:dyDescent="0.2">
      <c r="A10" s="3">
        <v>1</v>
      </c>
      <c r="C10" s="3" t="str">
        <f>IF(B10="","",IF(ISNUMBER(VALUE(_xlfn.TEXTBEFORE(B10," "))),_xlfn.XLOOKUP(VALUE(_xlfn.TEXTBEFORE(B10," ")),Legend!$B$11:$B$26,Legend!$A$11:$A$26,"NOT FOUND",0,1),_xlfn.TEXTBEFORE(B10," ")))</f>
        <v/>
      </c>
      <c r="D10" s="3" t="str">
        <f t="shared" si="0"/>
        <v/>
      </c>
      <c r="E10" s="159" t="str">
        <f>IF(C10="","",_xlfn.XLOOKUP(C10,Legend!$A$10:$A$26,Legend!$C$10:$C$26,"NOT FOUND",0,1))</f>
        <v/>
      </c>
      <c r="F10" s="160" t="str">
        <f>IF(C10="","",_xlfn.XLOOKUP(D10,Legend!$A$29:$A$118,Legend!$B$29:$B$118,"NOT FOUND",0,1))</f>
        <v/>
      </c>
      <c r="G10" s="268" t="str">
        <f>IF(C10="","",_xlfn.XLOOKUP(D10,Legend!$A$29:$A$118,Legend!$C$29:$C$118,"NOT FOUND",0,1))</f>
        <v/>
      </c>
    </row>
    <row r="11" spans="1:7" x14ac:dyDescent="0.2">
      <c r="A11" s="3">
        <v>1</v>
      </c>
      <c r="C11" s="3" t="str">
        <f>IF(B11="","",IF(ISNUMBER(VALUE(_xlfn.TEXTBEFORE(B11," "))),_xlfn.XLOOKUP(VALUE(_xlfn.TEXTBEFORE(B11," ")),Legend!$B$11:$B$26,Legend!$A$11:$A$26,"NOT FOUND",0,1),_xlfn.TEXTBEFORE(B11," ")))</f>
        <v/>
      </c>
      <c r="D11" s="3" t="str">
        <f t="shared" si="0"/>
        <v/>
      </c>
      <c r="E11" s="159" t="str">
        <f>IF(C11="","",_xlfn.XLOOKUP(C11,Legend!$A$10:$A$26,Legend!$C$10:$C$26,"NOT FOUND",0,1))</f>
        <v/>
      </c>
      <c r="F11" s="160" t="str">
        <f>IF(C11="","",_xlfn.XLOOKUP(D11,Legend!$A$29:$A$118,Legend!$B$29:$B$118,"NOT FOUND",0,1))</f>
        <v/>
      </c>
      <c r="G11" s="268" t="str">
        <f>IF(C11="","",_xlfn.XLOOKUP(D11,Legend!$A$29:$A$118,Legend!$C$29:$C$118,"NOT FOUND",0,1))</f>
        <v/>
      </c>
    </row>
    <row r="12" spans="1:7" x14ac:dyDescent="0.2">
      <c r="A12" s="3">
        <v>1</v>
      </c>
      <c r="C12" s="3" t="str">
        <f>IF(B12="","",IF(ISNUMBER(VALUE(_xlfn.TEXTBEFORE(B12," "))),_xlfn.XLOOKUP(VALUE(_xlfn.TEXTBEFORE(B12," ")),Legend!$B$11:$B$26,Legend!$A$11:$A$26,"NOT FOUND",0,1),_xlfn.TEXTBEFORE(B12," ")))</f>
        <v/>
      </c>
      <c r="D12" s="3" t="str">
        <f t="shared" si="0"/>
        <v/>
      </c>
      <c r="E12" s="159" t="str">
        <f>IF(C12="","",_xlfn.XLOOKUP(C12,Legend!$A$10:$A$26,Legend!$C$10:$C$26,"NOT FOUND",0,1))</f>
        <v/>
      </c>
      <c r="F12" s="160" t="str">
        <f>IF(C12="","",_xlfn.XLOOKUP(D12,Legend!$A$29:$A$118,Legend!$B$29:$B$118,"NOT FOUND",0,1))</f>
        <v/>
      </c>
      <c r="G12" s="268" t="str">
        <f>IF(C12="","",_xlfn.XLOOKUP(D12,Legend!$A$29:$A$118,Legend!$C$29:$C$118,"NOT FOUND",0,1))</f>
        <v/>
      </c>
    </row>
    <row r="13" spans="1:7" x14ac:dyDescent="0.2">
      <c r="A13" s="3">
        <v>1</v>
      </c>
      <c r="C13" s="3" t="str">
        <f>IF(B13="","",IF(ISNUMBER(VALUE(_xlfn.TEXTBEFORE(B13," "))),_xlfn.XLOOKUP(VALUE(_xlfn.TEXTBEFORE(B13," ")),Legend!$B$11:$B$26,Legend!$A$11:$A$26,"NOT FOUND",0,1),_xlfn.TEXTBEFORE(B13," ")))</f>
        <v/>
      </c>
      <c r="D13" s="3" t="str">
        <f t="shared" si="0"/>
        <v/>
      </c>
      <c r="E13" s="159" t="str">
        <f>IF(C13="","",_xlfn.XLOOKUP(C13,Legend!$A$10:$A$26,Legend!$C$10:$C$26,"NOT FOUND",0,1))</f>
        <v/>
      </c>
      <c r="F13" s="160" t="str">
        <f>IF(C13="","",_xlfn.XLOOKUP(D13,Legend!$A$29:$A$118,Legend!$B$29:$B$118,"NOT FOUND",0,1))</f>
        <v/>
      </c>
      <c r="G13" s="268" t="str">
        <f>IF(C13="","",_xlfn.XLOOKUP(D13,Legend!$A$29:$A$118,Legend!$C$29:$C$118,"NOT FOUND",0,1))</f>
        <v/>
      </c>
    </row>
    <row r="14" spans="1:7" x14ac:dyDescent="0.2">
      <c r="A14" s="3">
        <v>1</v>
      </c>
      <c r="C14" s="3" t="str">
        <f>IF(B14="","",IF(ISNUMBER(VALUE(_xlfn.TEXTBEFORE(B14," "))),_xlfn.XLOOKUP(VALUE(_xlfn.TEXTBEFORE(B14," ")),Legend!$B$11:$B$26,Legend!$A$11:$A$26,"NOT FOUND",0,1),_xlfn.TEXTBEFORE(B14," ")))</f>
        <v/>
      </c>
      <c r="D14" s="3" t="str">
        <f t="shared" si="0"/>
        <v/>
      </c>
      <c r="E14" s="159" t="str">
        <f>IF(C14="","",_xlfn.XLOOKUP(C14,Legend!$A$10:$A$26,Legend!$C$10:$C$26,"NOT FOUND",0,1))</f>
        <v/>
      </c>
      <c r="F14" s="160" t="str">
        <f>IF(C14="","",_xlfn.XLOOKUP(D14,Legend!$A$29:$A$118,Legend!$B$29:$B$118,"NOT FOUND",0,1))</f>
        <v/>
      </c>
      <c r="G14" s="268" t="str">
        <f>IF(C14="","",_xlfn.XLOOKUP(D14,Legend!$A$29:$A$118,Legend!$C$29:$C$118,"NOT FOUND",0,1))</f>
        <v/>
      </c>
    </row>
    <row r="15" spans="1:7" x14ac:dyDescent="0.2">
      <c r="A15" s="3">
        <v>1</v>
      </c>
      <c r="C15" s="3" t="str">
        <f>IF(B15="","",IF(ISNUMBER(VALUE(_xlfn.TEXTBEFORE(B15," "))),_xlfn.XLOOKUP(VALUE(_xlfn.TEXTBEFORE(B15," ")),Legend!$B$11:$B$26,Legend!$A$11:$A$26,"NOT FOUND",0,1),_xlfn.TEXTBEFORE(B15," ")))</f>
        <v/>
      </c>
      <c r="D15" s="3" t="str">
        <f t="shared" si="0"/>
        <v/>
      </c>
      <c r="E15" s="159" t="str">
        <f>IF(C15="","",_xlfn.XLOOKUP(C15,Legend!$A$10:$A$26,Legend!$C$10:$C$26,"NOT FOUND",0,1))</f>
        <v/>
      </c>
      <c r="F15" s="160" t="str">
        <f>IF(C15="","",_xlfn.XLOOKUP(D15,Legend!$A$29:$A$118,Legend!$B$29:$B$118,"NOT FOUND",0,1))</f>
        <v/>
      </c>
      <c r="G15" s="268" t="str">
        <f>IF(C15="","",_xlfn.XLOOKUP(D15,Legend!$A$29:$A$118,Legend!$C$29:$C$118,"NOT FOUND",0,1))</f>
        <v/>
      </c>
    </row>
    <row r="16" spans="1:7" x14ac:dyDescent="0.2">
      <c r="A16" s="3">
        <v>1</v>
      </c>
      <c r="C16" s="3" t="str">
        <f>IF(B16="","",IF(ISNUMBER(VALUE(_xlfn.TEXTBEFORE(B16," "))),_xlfn.XLOOKUP(VALUE(_xlfn.TEXTBEFORE(B16," ")),Legend!$B$11:$B$26,Legend!$A$11:$A$26,"NOT FOUND",0,1),_xlfn.TEXTBEFORE(B16," ")))</f>
        <v/>
      </c>
      <c r="D16" s="3" t="str">
        <f t="shared" si="0"/>
        <v/>
      </c>
      <c r="E16" s="159" t="str">
        <f>IF(C16="","",_xlfn.XLOOKUP(C16,Legend!$A$10:$A$26,Legend!$C$10:$C$26,"NOT FOUND",0,1))</f>
        <v/>
      </c>
      <c r="F16" s="160" t="str">
        <f>IF(C16="","",_xlfn.XLOOKUP(D16,Legend!$A$29:$A$118,Legend!$B$29:$B$118,"NOT FOUND",0,1))</f>
        <v/>
      </c>
      <c r="G16" s="268" t="str">
        <f>IF(C16="","",_xlfn.XLOOKUP(D16,Legend!$A$29:$A$118,Legend!$C$29:$C$118,"NOT FOUND",0,1))</f>
        <v/>
      </c>
    </row>
    <row r="17" spans="1:7" x14ac:dyDescent="0.2">
      <c r="A17" s="3">
        <v>1</v>
      </c>
      <c r="C17" s="3" t="str">
        <f>IF(B17="","",IF(ISNUMBER(VALUE(_xlfn.TEXTBEFORE(B17," "))),_xlfn.XLOOKUP(VALUE(_xlfn.TEXTBEFORE(B17," ")),Legend!$B$11:$B$26,Legend!$A$11:$A$26,"NOT FOUND",0,1),_xlfn.TEXTBEFORE(B17," ")))</f>
        <v/>
      </c>
      <c r="D17" s="3" t="str">
        <f t="shared" si="0"/>
        <v/>
      </c>
      <c r="E17" s="159" t="str">
        <f>IF(C17="","",_xlfn.XLOOKUP(C17,Legend!$A$10:$A$26,Legend!$C$10:$C$26,"NOT FOUND",0,1))</f>
        <v/>
      </c>
      <c r="F17" s="160" t="str">
        <f>IF(C17="","",_xlfn.XLOOKUP(D17,Legend!$A$29:$A$118,Legend!$B$29:$B$118,"NOT FOUND",0,1))</f>
        <v/>
      </c>
      <c r="G17" s="268" t="str">
        <f>IF(C17="","",_xlfn.XLOOKUP(D17,Legend!$A$29:$A$118,Legend!$C$29:$C$118,"NOT FOUND",0,1))</f>
        <v/>
      </c>
    </row>
    <row r="18" spans="1:7" x14ac:dyDescent="0.2">
      <c r="A18" s="3">
        <v>1</v>
      </c>
      <c r="C18" s="3" t="str">
        <f>IF(B18="","",IF(ISNUMBER(VALUE(_xlfn.TEXTBEFORE(B18," "))),_xlfn.XLOOKUP(VALUE(_xlfn.TEXTBEFORE(B18," ")),Legend!$B$11:$B$26,Legend!$A$11:$A$26,"NOT FOUND",0,1),_xlfn.TEXTBEFORE(B18," ")))</f>
        <v/>
      </c>
      <c r="D18" s="3" t="str">
        <f t="shared" si="0"/>
        <v/>
      </c>
      <c r="E18" s="159" t="str">
        <f>IF(C18="","",_xlfn.XLOOKUP(C18,Legend!$A$10:$A$26,Legend!$C$10:$C$26,"NOT FOUND",0,1))</f>
        <v/>
      </c>
      <c r="F18" s="160" t="str">
        <f>IF(C18="","",_xlfn.XLOOKUP(D18,Legend!$A$29:$A$118,Legend!$B$29:$B$118,"NOT FOUND",0,1))</f>
        <v/>
      </c>
      <c r="G18" s="268" t="str">
        <f>IF(C18="","",_xlfn.XLOOKUP(D18,Legend!$A$29:$A$118,Legend!$C$29:$C$118,"NOT FOUND",0,1))</f>
        <v/>
      </c>
    </row>
    <row r="19" spans="1:7" x14ac:dyDescent="0.2">
      <c r="A19" s="3">
        <v>1</v>
      </c>
      <c r="C19" s="3" t="str">
        <f>IF(B19="","",IF(ISNUMBER(VALUE(_xlfn.TEXTBEFORE(B19," "))),_xlfn.XLOOKUP(VALUE(_xlfn.TEXTBEFORE(B19," ")),Legend!$B$11:$B$26,Legend!$A$11:$A$26,"NOT FOUND",0,1),_xlfn.TEXTBEFORE(B19," ")))</f>
        <v/>
      </c>
      <c r="D19" s="3" t="str">
        <f t="shared" si="0"/>
        <v/>
      </c>
      <c r="E19" s="159" t="str">
        <f>IF(C19="","",_xlfn.XLOOKUP(C19,Legend!$A$10:$A$26,Legend!$C$10:$C$26,"NOT FOUND",0,1))</f>
        <v/>
      </c>
      <c r="F19" s="160" t="str">
        <f>IF(C19="","",_xlfn.XLOOKUP(D19,Legend!$A$29:$A$118,Legend!$B$29:$B$118,"NOT FOUND",0,1))</f>
        <v/>
      </c>
      <c r="G19" s="268" t="str">
        <f>IF(C19="","",_xlfn.XLOOKUP(D19,Legend!$A$29:$A$118,Legend!$C$29:$C$118,"NOT FOUND",0,1))</f>
        <v/>
      </c>
    </row>
    <row r="20" spans="1:7" x14ac:dyDescent="0.2">
      <c r="A20" s="3">
        <v>1</v>
      </c>
      <c r="C20" s="3" t="str">
        <f>IF(B20="","",IF(ISNUMBER(VALUE(_xlfn.TEXTBEFORE(B20," "))),_xlfn.XLOOKUP(VALUE(_xlfn.TEXTBEFORE(B20," ")),Legend!$B$11:$B$26,Legend!$A$11:$A$26,"NOT FOUND",0,1),_xlfn.TEXTBEFORE(B20," ")))</f>
        <v/>
      </c>
      <c r="D20" s="3" t="str">
        <f t="shared" si="0"/>
        <v/>
      </c>
      <c r="E20" s="159" t="str">
        <f>IF(C20="","",_xlfn.XLOOKUP(C20,Legend!$A$10:$A$26,Legend!$C$10:$C$26,"NOT FOUND",0,1))</f>
        <v/>
      </c>
      <c r="F20" s="160" t="str">
        <f>IF(C20="","",_xlfn.XLOOKUP(D20,Legend!$A$29:$A$118,Legend!$B$29:$B$118,"NOT FOUND",0,1))</f>
        <v/>
      </c>
      <c r="G20" s="268" t="str">
        <f>IF(C20="","",_xlfn.XLOOKUP(D20,Legend!$A$29:$A$118,Legend!$C$29:$C$118,"NOT FOUND",0,1))</f>
        <v/>
      </c>
    </row>
    <row r="21" spans="1:7" x14ac:dyDescent="0.2">
      <c r="A21" s="3">
        <v>1</v>
      </c>
      <c r="C21" s="3" t="str">
        <f>IF(B21="","",IF(ISNUMBER(VALUE(_xlfn.TEXTBEFORE(B21," "))),_xlfn.XLOOKUP(VALUE(_xlfn.TEXTBEFORE(B21," ")),Legend!$B$11:$B$26,Legend!$A$11:$A$26,"NOT FOUND",0,1),_xlfn.TEXTBEFORE(B21," ")))</f>
        <v/>
      </c>
      <c r="D21" s="3" t="str">
        <f t="shared" si="0"/>
        <v/>
      </c>
      <c r="E21" s="159" t="str">
        <f>IF(C21="","",_xlfn.XLOOKUP(C21,Legend!$A$10:$A$26,Legend!$C$10:$C$26,"NOT FOUND",0,1))</f>
        <v/>
      </c>
      <c r="F21" s="160" t="str">
        <f>IF(C21="","",_xlfn.XLOOKUP(D21,Legend!$A$29:$A$118,Legend!$B$29:$B$118,"NOT FOUND",0,1))</f>
        <v/>
      </c>
      <c r="G21" s="268" t="str">
        <f>IF(C21="","",_xlfn.XLOOKUP(D21,Legend!$A$29:$A$118,Legend!$C$29:$C$118,"NOT FOUND",0,1))</f>
        <v/>
      </c>
    </row>
    <row r="22" spans="1:7" x14ac:dyDescent="0.2">
      <c r="A22" s="3">
        <v>1</v>
      </c>
      <c r="C22" s="3" t="str">
        <f>IF(B22="","",IF(ISNUMBER(VALUE(_xlfn.TEXTBEFORE(B22," "))),_xlfn.XLOOKUP(VALUE(_xlfn.TEXTBEFORE(B22," ")),Legend!$B$11:$B$26,Legend!$A$11:$A$26,"NOT FOUND",0,1),_xlfn.TEXTBEFORE(B22," ")))</f>
        <v/>
      </c>
      <c r="D22" s="3" t="str">
        <f t="shared" si="0"/>
        <v/>
      </c>
      <c r="E22" s="159" t="str">
        <f>IF(C22="","",_xlfn.XLOOKUP(C22,Legend!$A$10:$A$26,Legend!$C$10:$C$26,"NOT FOUND",0,1))</f>
        <v/>
      </c>
      <c r="F22" s="160" t="str">
        <f>IF(C22="","",_xlfn.XLOOKUP(D22,Legend!$A$29:$A$118,Legend!$B$29:$B$118,"NOT FOUND",0,1))</f>
        <v/>
      </c>
      <c r="G22" s="268" t="str">
        <f>IF(C22="","",_xlfn.XLOOKUP(D22,Legend!$A$29:$A$118,Legend!$C$29:$C$118,"NOT FOUND",0,1))</f>
        <v/>
      </c>
    </row>
    <row r="23" spans="1:7" x14ac:dyDescent="0.2">
      <c r="A23" s="3">
        <v>1</v>
      </c>
      <c r="C23" s="3" t="str">
        <f>IF(B23="","",IF(ISNUMBER(VALUE(_xlfn.TEXTBEFORE(B23," "))),_xlfn.XLOOKUP(VALUE(_xlfn.TEXTBEFORE(B23," ")),Legend!$B$11:$B$26,Legend!$A$11:$A$26,"NOT FOUND",0,1),_xlfn.TEXTBEFORE(B23," ")))</f>
        <v/>
      </c>
      <c r="D23" s="3" t="str">
        <f t="shared" si="0"/>
        <v/>
      </c>
      <c r="E23" s="159" t="str">
        <f>IF(C23="","",_xlfn.XLOOKUP(C23,Legend!$A$10:$A$26,Legend!$C$10:$C$26,"NOT FOUND",0,1))</f>
        <v/>
      </c>
      <c r="F23" s="160" t="str">
        <f>IF(C23="","",_xlfn.XLOOKUP(D23,Legend!$A$29:$A$118,Legend!$B$29:$B$118,"NOT FOUND",0,1))</f>
        <v/>
      </c>
      <c r="G23" s="268" t="str">
        <f>IF(C23="","",_xlfn.XLOOKUP(D23,Legend!$A$29:$A$118,Legend!$C$29:$C$118,"NOT FOUND",0,1))</f>
        <v/>
      </c>
    </row>
    <row r="24" spans="1:7" x14ac:dyDescent="0.2">
      <c r="A24" s="3">
        <v>1</v>
      </c>
      <c r="C24" s="3" t="str">
        <f>IF(B24="","",IF(ISNUMBER(VALUE(_xlfn.TEXTBEFORE(B24," "))),_xlfn.XLOOKUP(VALUE(_xlfn.TEXTBEFORE(B24," ")),Legend!$B$11:$B$26,Legend!$A$11:$A$26,"NOT FOUND",0,1),_xlfn.TEXTBEFORE(B24," ")))</f>
        <v/>
      </c>
      <c r="D24" s="3" t="str">
        <f t="shared" si="0"/>
        <v/>
      </c>
      <c r="E24" s="159" t="str">
        <f>IF(C24="","",_xlfn.XLOOKUP(C24,Legend!$A$10:$A$26,Legend!$C$10:$C$26,"NOT FOUND",0,1))</f>
        <v/>
      </c>
      <c r="F24" s="160" t="str">
        <f>IF(C24="","",_xlfn.XLOOKUP(D24,Legend!$A$29:$A$118,Legend!$B$29:$B$118,"NOT FOUND",0,1))</f>
        <v/>
      </c>
      <c r="G24" s="268" t="str">
        <f>IF(C24="","",_xlfn.XLOOKUP(D24,Legend!$A$29:$A$118,Legend!$C$29:$C$118,"NOT FOUND",0,1))</f>
        <v/>
      </c>
    </row>
    <row r="25" spans="1:7" x14ac:dyDescent="0.2">
      <c r="A25" s="3">
        <v>1</v>
      </c>
      <c r="C25" s="3" t="str">
        <f>IF(B25="","",IF(ISNUMBER(VALUE(_xlfn.TEXTBEFORE(B25," "))),_xlfn.XLOOKUP(VALUE(_xlfn.TEXTBEFORE(B25," ")),Legend!$B$11:$B$26,Legend!$A$11:$A$26,"NOT FOUND",0,1),_xlfn.TEXTBEFORE(B25," ")))</f>
        <v/>
      </c>
      <c r="D25" s="3" t="str">
        <f t="shared" si="0"/>
        <v/>
      </c>
      <c r="E25" s="159" t="str">
        <f>IF(C25="","",_xlfn.XLOOKUP(C25,Legend!$A$10:$A$26,Legend!$C$10:$C$26,"NOT FOUND",0,1))</f>
        <v/>
      </c>
      <c r="F25" s="160" t="str">
        <f>IF(C25="","",_xlfn.XLOOKUP(D25,Legend!$A$29:$A$118,Legend!$B$29:$B$118,"NOT FOUND",0,1))</f>
        <v/>
      </c>
      <c r="G25" s="268" t="str">
        <f>IF(C25="","",_xlfn.XLOOKUP(D25,Legend!$A$29:$A$118,Legend!$C$29:$C$118,"NOT FOUND",0,1))</f>
        <v/>
      </c>
    </row>
    <row r="26" spans="1:7" x14ac:dyDescent="0.2">
      <c r="A26" s="3">
        <v>1</v>
      </c>
      <c r="C26" s="3" t="str">
        <f>IF(B26="","",IF(ISNUMBER(VALUE(_xlfn.TEXTBEFORE(B26," "))),_xlfn.XLOOKUP(VALUE(_xlfn.TEXTBEFORE(B26," ")),Legend!$B$11:$B$26,Legend!$A$11:$A$26,"NOT FOUND",0,1),_xlfn.TEXTBEFORE(B26," ")))</f>
        <v/>
      </c>
      <c r="D26" s="3" t="str">
        <f t="shared" si="0"/>
        <v/>
      </c>
      <c r="E26" s="159" t="str">
        <f>IF(C26="","",_xlfn.XLOOKUP(C26,Legend!$A$10:$A$26,Legend!$C$10:$C$26,"NOT FOUND",0,1))</f>
        <v/>
      </c>
      <c r="F26" s="160" t="str">
        <f>IF(C26="","",_xlfn.XLOOKUP(D26,Legend!$A$29:$A$118,Legend!$B$29:$B$118,"NOT FOUND",0,1))</f>
        <v/>
      </c>
      <c r="G26" s="268" t="str">
        <f>IF(C26="","",_xlfn.XLOOKUP(D26,Legend!$A$29:$A$118,Legend!$C$29:$C$118,"NOT FOUND",0,1))</f>
        <v/>
      </c>
    </row>
    <row r="27" spans="1:7" x14ac:dyDescent="0.2">
      <c r="A27" s="3">
        <v>1</v>
      </c>
      <c r="C27" s="3" t="str">
        <f>IF(B27="","",IF(ISNUMBER(VALUE(_xlfn.TEXTBEFORE(B27," "))),_xlfn.XLOOKUP(VALUE(_xlfn.TEXTBEFORE(B27," ")),Legend!$B$11:$B$26,Legend!$A$11:$A$26,"NOT FOUND",0,1),_xlfn.TEXTBEFORE(B27," ")))</f>
        <v/>
      </c>
      <c r="D27" s="3" t="str">
        <f t="shared" si="0"/>
        <v/>
      </c>
      <c r="E27" s="159" t="str">
        <f>IF(C27="","",_xlfn.XLOOKUP(C27,Legend!$A$10:$A$26,Legend!$C$10:$C$26,"NOT FOUND",0,1))</f>
        <v/>
      </c>
      <c r="F27" s="160" t="str">
        <f>IF(C27="","",_xlfn.XLOOKUP(D27,Legend!$A$29:$A$118,Legend!$B$29:$B$118,"NOT FOUND",0,1))</f>
        <v/>
      </c>
      <c r="G27" s="268" t="str">
        <f>IF(C27="","",_xlfn.XLOOKUP(D27,Legend!$A$29:$A$118,Legend!$C$29:$C$118,"NOT FOUND",0,1))</f>
        <v/>
      </c>
    </row>
    <row r="28" spans="1:7" x14ac:dyDescent="0.2">
      <c r="A28" s="3">
        <v>1</v>
      </c>
      <c r="C28" s="3" t="str">
        <f>IF(B28="","",IF(ISNUMBER(VALUE(_xlfn.TEXTBEFORE(B28," "))),_xlfn.XLOOKUP(VALUE(_xlfn.TEXTBEFORE(B28," ")),Legend!$B$11:$B$26,Legend!$A$11:$A$26,"NOT FOUND",0,1),_xlfn.TEXTBEFORE(B28," ")))</f>
        <v/>
      </c>
      <c r="D28" s="3" t="str">
        <f t="shared" si="0"/>
        <v/>
      </c>
      <c r="E28" s="159" t="str">
        <f>IF(C28="","",_xlfn.XLOOKUP(C28,Legend!$A$10:$A$26,Legend!$C$10:$C$26,"NOT FOUND",0,1))</f>
        <v/>
      </c>
      <c r="F28" s="160" t="str">
        <f>IF(C28="","",_xlfn.XLOOKUP(D28,Legend!$A$29:$A$118,Legend!$B$29:$B$118,"NOT FOUND",0,1))</f>
        <v/>
      </c>
      <c r="G28" s="268" t="str">
        <f>IF(C28="","",_xlfn.XLOOKUP(D28,Legend!$A$29:$A$118,Legend!$C$29:$C$118,"NOT FOUND",0,1))</f>
        <v/>
      </c>
    </row>
    <row r="29" spans="1:7" x14ac:dyDescent="0.2">
      <c r="A29" s="3">
        <v>1</v>
      </c>
      <c r="C29" s="3" t="str">
        <f>IF(B29="","",IF(ISNUMBER(VALUE(_xlfn.TEXTBEFORE(B29," "))),_xlfn.XLOOKUP(VALUE(_xlfn.TEXTBEFORE(B29," ")),Legend!$B$11:$B$26,Legend!$A$11:$A$26,"NOT FOUND",0,1),_xlfn.TEXTBEFORE(B29," ")))</f>
        <v/>
      </c>
      <c r="D29" s="3" t="str">
        <f t="shared" si="0"/>
        <v/>
      </c>
      <c r="E29" s="159" t="str">
        <f>IF(C29="","",_xlfn.XLOOKUP(C29,Legend!$A$10:$A$26,Legend!$C$10:$C$26,"NOT FOUND",0,1))</f>
        <v/>
      </c>
      <c r="F29" s="160" t="str">
        <f>IF(C29="","",_xlfn.XLOOKUP(D29,Legend!$A$29:$A$118,Legend!$B$29:$B$118,"NOT FOUND",0,1))</f>
        <v/>
      </c>
      <c r="G29" s="268" t="str">
        <f>IF(C29="","",_xlfn.XLOOKUP(D29,Legend!$A$29:$A$118,Legend!$C$29:$C$118,"NOT FOUND",0,1))</f>
        <v/>
      </c>
    </row>
    <row r="30" spans="1:7" x14ac:dyDescent="0.2">
      <c r="A30" s="3">
        <v>1</v>
      </c>
      <c r="C30" s="3" t="str">
        <f>IF(B30="","",IF(ISNUMBER(VALUE(_xlfn.TEXTBEFORE(B30," "))),_xlfn.XLOOKUP(VALUE(_xlfn.TEXTBEFORE(B30," ")),Legend!$B$11:$B$26,Legend!$A$11:$A$26,"NOT FOUND",0,1),_xlfn.TEXTBEFORE(B30," ")))</f>
        <v/>
      </c>
      <c r="D30" s="3" t="str">
        <f t="shared" si="0"/>
        <v/>
      </c>
      <c r="E30" s="159" t="str">
        <f>IF(C30="","",_xlfn.XLOOKUP(C30,Legend!$A$10:$A$26,Legend!$C$10:$C$26,"NOT FOUND",0,1))</f>
        <v/>
      </c>
      <c r="F30" s="160" t="str">
        <f>IF(C30="","",_xlfn.XLOOKUP(D30,Legend!$A$29:$A$118,Legend!$B$29:$B$118,"NOT FOUND",0,1))</f>
        <v/>
      </c>
      <c r="G30" s="268" t="str">
        <f>IF(C30="","",_xlfn.XLOOKUP(D30,Legend!$A$29:$A$118,Legend!$C$29:$C$118,"NOT FOUND",0,1))</f>
        <v/>
      </c>
    </row>
    <row r="31" spans="1:7" x14ac:dyDescent="0.2">
      <c r="A31" s="3">
        <v>1</v>
      </c>
      <c r="C31" s="3" t="str">
        <f>IF(B31="","",IF(ISNUMBER(VALUE(_xlfn.TEXTBEFORE(B31," "))),_xlfn.XLOOKUP(VALUE(_xlfn.TEXTBEFORE(B31," ")),Legend!$B$11:$B$26,Legend!$A$11:$A$26,"NOT FOUND",0,1),_xlfn.TEXTBEFORE(B31," ")))</f>
        <v/>
      </c>
      <c r="D31" s="3" t="str">
        <f t="shared" si="0"/>
        <v/>
      </c>
      <c r="E31" s="159" t="str">
        <f>IF(C31="","",_xlfn.XLOOKUP(C31,Legend!$A$10:$A$26,Legend!$C$10:$C$26,"NOT FOUND",0,1))</f>
        <v/>
      </c>
      <c r="F31" s="160" t="str">
        <f>IF(C31="","",_xlfn.XLOOKUP(D31,Legend!$A$29:$A$118,Legend!$B$29:$B$118,"NOT FOUND",0,1))</f>
        <v/>
      </c>
      <c r="G31" s="268" t="str">
        <f>IF(C31="","",_xlfn.XLOOKUP(D31,Legend!$A$29:$A$118,Legend!$C$29:$C$118,"NOT FOUND",0,1))</f>
        <v/>
      </c>
    </row>
    <row r="32" spans="1:7" x14ac:dyDescent="0.2">
      <c r="A32" s="3">
        <v>1</v>
      </c>
      <c r="C32" s="3" t="str">
        <f>IF(B32="","",IF(ISNUMBER(VALUE(_xlfn.TEXTBEFORE(B32," "))),_xlfn.XLOOKUP(VALUE(_xlfn.TEXTBEFORE(B32," ")),Legend!$B$11:$B$26,Legend!$A$11:$A$26,"NOT FOUND",0,1),_xlfn.TEXTBEFORE(B32," ")))</f>
        <v/>
      </c>
      <c r="D32" s="3" t="str">
        <f t="shared" si="0"/>
        <v/>
      </c>
      <c r="E32" s="159" t="str">
        <f>IF(C32="","",_xlfn.XLOOKUP(C32,Legend!$A$10:$A$26,Legend!$C$10:$C$26,"NOT FOUND",0,1))</f>
        <v/>
      </c>
      <c r="F32" s="160" t="str">
        <f>IF(C32="","",_xlfn.XLOOKUP(D32,Legend!$A$29:$A$118,Legend!$B$29:$B$118,"NOT FOUND",0,1))</f>
        <v/>
      </c>
      <c r="G32" s="268" t="str">
        <f>IF(C32="","",_xlfn.XLOOKUP(D32,Legend!$A$29:$A$118,Legend!$C$29:$C$118,"NOT FOUND",0,1))</f>
        <v/>
      </c>
    </row>
    <row r="33" spans="1:7" x14ac:dyDescent="0.2">
      <c r="A33" s="3">
        <v>1</v>
      </c>
      <c r="C33" s="3" t="str">
        <f>IF(B33="","",IF(ISNUMBER(VALUE(_xlfn.TEXTBEFORE(B33," "))),_xlfn.XLOOKUP(VALUE(_xlfn.TEXTBEFORE(B33," ")),Legend!$B$11:$B$26,Legend!$A$11:$A$26,"NOT FOUND",0,1),_xlfn.TEXTBEFORE(B33," ")))</f>
        <v/>
      </c>
      <c r="D33" s="3" t="str">
        <f t="shared" si="0"/>
        <v/>
      </c>
      <c r="E33" s="159" t="str">
        <f>IF(C33="","",_xlfn.XLOOKUP(C33,Legend!$A$10:$A$26,Legend!$C$10:$C$26,"NOT FOUND",0,1))</f>
        <v/>
      </c>
      <c r="F33" s="160" t="str">
        <f>IF(C33="","",_xlfn.XLOOKUP(D33,Legend!$A$29:$A$118,Legend!$B$29:$B$118,"NOT FOUND",0,1))</f>
        <v/>
      </c>
      <c r="G33" s="268" t="str">
        <f>IF(C33="","",_xlfn.XLOOKUP(D33,Legend!$A$29:$A$118,Legend!$C$29:$C$118,"NOT FOUND",0,1))</f>
        <v/>
      </c>
    </row>
    <row r="34" spans="1:7" x14ac:dyDescent="0.2">
      <c r="A34" s="3">
        <v>1</v>
      </c>
      <c r="C34" s="3" t="str">
        <f>IF(B34="","",IF(ISNUMBER(VALUE(_xlfn.TEXTBEFORE(B34," "))),_xlfn.XLOOKUP(VALUE(_xlfn.TEXTBEFORE(B34," ")),Legend!$B$11:$B$26,Legend!$A$11:$A$26,"NOT FOUND",0,1),_xlfn.TEXTBEFORE(B34," ")))</f>
        <v/>
      </c>
      <c r="D34" s="3" t="str">
        <f t="shared" si="0"/>
        <v/>
      </c>
      <c r="E34" s="159" t="str">
        <f>IF(C34="","",_xlfn.XLOOKUP(C34,Legend!$A$10:$A$26,Legend!$C$10:$C$26,"NOT FOUND",0,1))</f>
        <v/>
      </c>
      <c r="F34" s="160" t="str">
        <f>IF(C34="","",_xlfn.XLOOKUP(D34,Legend!$A$29:$A$118,Legend!$B$29:$B$118,"NOT FOUND",0,1))</f>
        <v/>
      </c>
      <c r="G34" s="268" t="str">
        <f>IF(C34="","",_xlfn.XLOOKUP(D34,Legend!$A$29:$A$118,Legend!$C$29:$C$118,"NOT FOUND",0,1))</f>
        <v/>
      </c>
    </row>
    <row r="35" spans="1:7" x14ac:dyDescent="0.2">
      <c r="A35" s="3">
        <v>1</v>
      </c>
      <c r="C35" s="3" t="str">
        <f>IF(B35="","",IF(ISNUMBER(VALUE(_xlfn.TEXTBEFORE(B35," "))),_xlfn.XLOOKUP(VALUE(_xlfn.TEXTBEFORE(B35," ")),Legend!$B$11:$B$26,Legend!$A$11:$A$26,"NOT FOUND",0,1),_xlfn.TEXTBEFORE(B35," ")))</f>
        <v/>
      </c>
      <c r="D35" s="3" t="str">
        <f t="shared" si="0"/>
        <v/>
      </c>
      <c r="E35" s="159" t="str">
        <f>IF(C35="","",_xlfn.XLOOKUP(C35,Legend!$A$10:$A$26,Legend!$C$10:$C$26,"NOT FOUND",0,1))</f>
        <v/>
      </c>
      <c r="F35" s="160" t="str">
        <f>IF(C35="","",_xlfn.XLOOKUP(D35,Legend!$A$29:$A$118,Legend!$B$29:$B$118,"NOT FOUND",0,1))</f>
        <v/>
      </c>
      <c r="G35" s="268" t="str">
        <f>IF(C35="","",_xlfn.XLOOKUP(D35,Legend!$A$29:$A$118,Legend!$C$29:$C$118,"NOT FOUND",0,1))</f>
        <v/>
      </c>
    </row>
    <row r="36" spans="1:7" x14ac:dyDescent="0.2">
      <c r="A36" s="3">
        <v>1</v>
      </c>
      <c r="C36" s="3" t="str">
        <f>IF(B36="","",IF(ISNUMBER(VALUE(_xlfn.TEXTBEFORE(B36," "))),_xlfn.XLOOKUP(VALUE(_xlfn.TEXTBEFORE(B36," ")),Legend!$B$11:$B$26,Legend!$A$11:$A$26,"NOT FOUND",0,1),_xlfn.TEXTBEFORE(B36," ")))</f>
        <v/>
      </c>
      <c r="D36" s="3" t="str">
        <f t="shared" si="0"/>
        <v/>
      </c>
      <c r="E36" s="159" t="str">
        <f>IF(C36="","",_xlfn.XLOOKUP(C36,Legend!$A$10:$A$26,Legend!$C$10:$C$26,"NOT FOUND",0,1))</f>
        <v/>
      </c>
      <c r="F36" s="160" t="str">
        <f>IF(C36="","",_xlfn.XLOOKUP(D36,Legend!$A$29:$A$118,Legend!$B$29:$B$118,"NOT FOUND",0,1))</f>
        <v/>
      </c>
      <c r="G36" s="268" t="str">
        <f>IF(C36="","",_xlfn.XLOOKUP(D36,Legend!$A$29:$A$118,Legend!$C$29:$C$118,"NOT FOUND",0,1))</f>
        <v/>
      </c>
    </row>
    <row r="37" spans="1:7" x14ac:dyDescent="0.2">
      <c r="A37" s="3">
        <v>1</v>
      </c>
      <c r="C37" s="3" t="str">
        <f>IF(B37="","",IF(ISNUMBER(VALUE(_xlfn.TEXTBEFORE(B37," "))),_xlfn.XLOOKUP(VALUE(_xlfn.TEXTBEFORE(B37," ")),Legend!$B$11:$B$26,Legend!$A$11:$A$26,"NOT FOUND",0,1),_xlfn.TEXTBEFORE(B37," ")))</f>
        <v/>
      </c>
      <c r="D37" s="3" t="str">
        <f t="shared" si="0"/>
        <v/>
      </c>
      <c r="E37" s="159" t="str">
        <f>IF(C37="","",_xlfn.XLOOKUP(C37,Legend!$A$10:$A$26,Legend!$C$10:$C$26,"NOT FOUND",0,1))</f>
        <v/>
      </c>
      <c r="F37" s="160" t="str">
        <f>IF(C37="","",_xlfn.XLOOKUP(D37,Legend!$A$29:$A$118,Legend!$B$29:$B$118,"NOT FOUND",0,1))</f>
        <v/>
      </c>
      <c r="G37" s="268" t="str">
        <f>IF(C37="","",_xlfn.XLOOKUP(D37,Legend!$A$29:$A$118,Legend!$C$29:$C$118,"NOT FOUND",0,1))</f>
        <v/>
      </c>
    </row>
    <row r="38" spans="1:7" x14ac:dyDescent="0.2">
      <c r="A38" s="3">
        <v>1</v>
      </c>
      <c r="C38" s="3" t="str">
        <f>IF(B38="","",IF(ISNUMBER(VALUE(_xlfn.TEXTBEFORE(B38," "))),_xlfn.XLOOKUP(VALUE(_xlfn.TEXTBEFORE(B38," ")),Legend!$B$11:$B$26,Legend!$A$11:$A$26,"NOT FOUND",0,1),_xlfn.TEXTBEFORE(B38," ")))</f>
        <v/>
      </c>
      <c r="D38" s="3" t="str">
        <f t="shared" si="0"/>
        <v/>
      </c>
      <c r="E38" s="159" t="str">
        <f>IF(C38="","",_xlfn.XLOOKUP(C38,Legend!$A$10:$A$26,Legend!$C$10:$C$26,"NOT FOUND",0,1))</f>
        <v/>
      </c>
      <c r="F38" s="160" t="str">
        <f>IF(C38="","",_xlfn.XLOOKUP(D38,Legend!$A$29:$A$118,Legend!$B$29:$B$118,"NOT FOUND",0,1))</f>
        <v/>
      </c>
      <c r="G38" s="268" t="str">
        <f>IF(C38="","",_xlfn.XLOOKUP(D38,Legend!$A$29:$A$118,Legend!$C$29:$C$118,"NOT FOUND",0,1))</f>
        <v/>
      </c>
    </row>
    <row r="39" spans="1:7" x14ac:dyDescent="0.2">
      <c r="A39" s="3">
        <v>1</v>
      </c>
      <c r="C39" s="3" t="str">
        <f>IF(B39="","",IF(ISNUMBER(VALUE(_xlfn.TEXTBEFORE(B39," "))),_xlfn.XLOOKUP(VALUE(_xlfn.TEXTBEFORE(B39," ")),Legend!$B$11:$B$26,Legend!$A$11:$A$26,"NOT FOUND",0,1),_xlfn.TEXTBEFORE(B39," ")))</f>
        <v/>
      </c>
      <c r="D39" s="3" t="str">
        <f t="shared" si="0"/>
        <v/>
      </c>
      <c r="E39" s="159" t="str">
        <f>IF(C39="","",_xlfn.XLOOKUP(C39,Legend!$A$10:$A$26,Legend!$C$10:$C$26,"NOT FOUND",0,1))</f>
        <v/>
      </c>
      <c r="F39" s="160" t="str">
        <f>IF(C39="","",_xlfn.XLOOKUP(D39,Legend!$A$29:$A$118,Legend!$B$29:$B$118,"NOT FOUND",0,1))</f>
        <v/>
      </c>
      <c r="G39" s="268" t="str">
        <f>IF(C39="","",_xlfn.XLOOKUP(D39,Legend!$A$29:$A$118,Legend!$C$29:$C$118,"NOT FOUND",0,1))</f>
        <v/>
      </c>
    </row>
    <row r="40" spans="1:7" x14ac:dyDescent="0.2">
      <c r="A40" s="3">
        <v>1</v>
      </c>
      <c r="C40" s="3" t="str">
        <f>IF(B40="","",IF(ISNUMBER(VALUE(_xlfn.TEXTBEFORE(B40," "))),_xlfn.XLOOKUP(VALUE(_xlfn.TEXTBEFORE(B40," ")),Legend!$B$11:$B$26,Legend!$A$11:$A$26,"NOT FOUND",0,1),_xlfn.TEXTBEFORE(B40," ")))</f>
        <v/>
      </c>
      <c r="D40" s="3" t="str">
        <f t="shared" si="0"/>
        <v/>
      </c>
      <c r="E40" s="159" t="str">
        <f>IF(C40="","",_xlfn.XLOOKUP(C40,Legend!$A$10:$A$26,Legend!$C$10:$C$26,"NOT FOUND",0,1))</f>
        <v/>
      </c>
      <c r="F40" s="160" t="str">
        <f>IF(C40="","",_xlfn.XLOOKUP(D40,Legend!$A$29:$A$118,Legend!$B$29:$B$118,"NOT FOUND",0,1))</f>
        <v/>
      </c>
      <c r="G40" s="268" t="str">
        <f>IF(C40="","",_xlfn.XLOOKUP(D40,Legend!$A$29:$A$118,Legend!$C$29:$C$118,"NOT FOUND",0,1))</f>
        <v/>
      </c>
    </row>
    <row r="41" spans="1:7" x14ac:dyDescent="0.2">
      <c r="A41" s="3">
        <v>1</v>
      </c>
      <c r="C41" s="3" t="str">
        <f>IF(B41="","",IF(ISNUMBER(VALUE(_xlfn.TEXTBEFORE(B41," "))),_xlfn.XLOOKUP(VALUE(_xlfn.TEXTBEFORE(B41," ")),Legend!$B$11:$B$26,Legend!$A$11:$A$26,"NOT FOUND",0,1),_xlfn.TEXTBEFORE(B41," ")))</f>
        <v/>
      </c>
      <c r="D41" s="3" t="str">
        <f t="shared" si="0"/>
        <v/>
      </c>
      <c r="E41" s="159" t="str">
        <f>IF(C41="","",_xlfn.XLOOKUP(C41,Legend!$A$10:$A$26,Legend!$C$10:$C$26,"NOT FOUND",0,1))</f>
        <v/>
      </c>
      <c r="F41" s="160" t="str">
        <f>IF(C41="","",_xlfn.XLOOKUP(D41,Legend!$A$29:$A$118,Legend!$B$29:$B$118,"NOT FOUND",0,1))</f>
        <v/>
      </c>
      <c r="G41" s="268" t="str">
        <f>IF(C41="","",_xlfn.XLOOKUP(D41,Legend!$A$29:$A$118,Legend!$C$29:$C$118,"NOT FOUND",0,1))</f>
        <v/>
      </c>
    </row>
    <row r="42" spans="1:7" x14ac:dyDescent="0.2">
      <c r="A42" s="3">
        <v>1</v>
      </c>
      <c r="C42" s="3" t="str">
        <f>IF(B42="","",IF(ISNUMBER(VALUE(_xlfn.TEXTBEFORE(B42," "))),_xlfn.XLOOKUP(VALUE(_xlfn.TEXTBEFORE(B42," ")),Legend!$B$11:$B$26,Legend!$A$11:$A$26,"NOT FOUND",0,1),_xlfn.TEXTBEFORE(B42," ")))</f>
        <v/>
      </c>
      <c r="D42" s="3" t="str">
        <f t="shared" si="0"/>
        <v/>
      </c>
      <c r="E42" s="159" t="str">
        <f>IF(C42="","",_xlfn.XLOOKUP(C42,Legend!$A$10:$A$26,Legend!$C$10:$C$26,"NOT FOUND",0,1))</f>
        <v/>
      </c>
      <c r="F42" s="160" t="str">
        <f>IF(C42="","",_xlfn.XLOOKUP(D42,Legend!$A$29:$A$118,Legend!$B$29:$B$118,"NOT FOUND",0,1))</f>
        <v/>
      </c>
      <c r="G42" s="268" t="str">
        <f>IF(C42="","",_xlfn.XLOOKUP(D42,Legend!$A$29:$A$118,Legend!$C$29:$C$118,"NOT FOUND",0,1))</f>
        <v/>
      </c>
    </row>
    <row r="43" spans="1:7" x14ac:dyDescent="0.2">
      <c r="A43" s="3">
        <v>1</v>
      </c>
      <c r="C43" s="3" t="str">
        <f>IF(B43="","",IF(ISNUMBER(VALUE(_xlfn.TEXTBEFORE(B43," "))),_xlfn.XLOOKUP(VALUE(_xlfn.TEXTBEFORE(B43," ")),Legend!$B$11:$B$26,Legend!$A$11:$A$26,"NOT FOUND",0,1),_xlfn.TEXTBEFORE(B43," ")))</f>
        <v/>
      </c>
      <c r="D43" s="3" t="str">
        <f t="shared" si="0"/>
        <v/>
      </c>
      <c r="E43" s="159" t="str">
        <f>IF(C43="","",_xlfn.XLOOKUP(C43,Legend!$A$10:$A$26,Legend!$C$10:$C$26,"NOT FOUND",0,1))</f>
        <v/>
      </c>
      <c r="F43" s="160" t="str">
        <f>IF(C43="","",_xlfn.XLOOKUP(D43,Legend!$A$29:$A$118,Legend!$B$29:$B$118,"NOT FOUND",0,1))</f>
        <v/>
      </c>
      <c r="G43" s="268" t="str">
        <f>IF(C43="","",_xlfn.XLOOKUP(D43,Legend!$A$29:$A$118,Legend!$C$29:$C$118,"NOT FOUND",0,1))</f>
        <v/>
      </c>
    </row>
    <row r="44" spans="1:7" x14ac:dyDescent="0.2">
      <c r="A44" s="3">
        <v>1</v>
      </c>
      <c r="C44" s="3" t="str">
        <f>IF(B44="","",IF(ISNUMBER(VALUE(_xlfn.TEXTBEFORE(B44," "))),_xlfn.XLOOKUP(VALUE(_xlfn.TEXTBEFORE(B44," ")),Legend!$B$11:$B$26,Legend!$A$11:$A$26,"NOT FOUND",0,1),_xlfn.TEXTBEFORE(B44," ")))</f>
        <v/>
      </c>
      <c r="D44" s="3" t="str">
        <f t="shared" si="0"/>
        <v/>
      </c>
      <c r="E44" s="159" t="str">
        <f>IF(C44="","",_xlfn.XLOOKUP(C44,Legend!$A$10:$A$26,Legend!$C$10:$C$26,"NOT FOUND",0,1))</f>
        <v/>
      </c>
      <c r="F44" s="160" t="str">
        <f>IF(C44="","",_xlfn.XLOOKUP(D44,Legend!$A$29:$A$118,Legend!$B$29:$B$118,"NOT FOUND",0,1))</f>
        <v/>
      </c>
      <c r="G44" s="268" t="str">
        <f>IF(C44="","",_xlfn.XLOOKUP(D44,Legend!$A$29:$A$118,Legend!$C$29:$C$118,"NOT FOUND",0,1))</f>
        <v/>
      </c>
    </row>
    <row r="45" spans="1:7" x14ac:dyDescent="0.2">
      <c r="A45" s="3">
        <v>1</v>
      </c>
      <c r="C45" s="3" t="str">
        <f>IF(B45="","",IF(ISNUMBER(VALUE(_xlfn.TEXTBEFORE(B45," "))),_xlfn.XLOOKUP(VALUE(_xlfn.TEXTBEFORE(B45," ")),Legend!$B$11:$B$26,Legend!$A$11:$A$26,"NOT FOUND",0,1),_xlfn.TEXTBEFORE(B45," ")))</f>
        <v/>
      </c>
      <c r="D45" s="3" t="str">
        <f t="shared" si="0"/>
        <v/>
      </c>
      <c r="E45" s="159" t="str">
        <f>IF(C45="","",_xlfn.XLOOKUP(C45,Legend!$A$10:$A$26,Legend!$C$10:$C$26,"NOT FOUND",0,1))</f>
        <v/>
      </c>
      <c r="F45" s="160" t="str">
        <f>IF(C45="","",_xlfn.XLOOKUP(D45,Legend!$A$29:$A$118,Legend!$B$29:$B$118,"NOT FOUND",0,1))</f>
        <v/>
      </c>
      <c r="G45" s="268" t="str">
        <f>IF(C45="","",_xlfn.XLOOKUP(D45,Legend!$A$29:$A$118,Legend!$C$29:$C$118,"NOT FOUND",0,1))</f>
        <v/>
      </c>
    </row>
    <row r="46" spans="1:7" x14ac:dyDescent="0.2">
      <c r="A46" s="3">
        <v>1</v>
      </c>
      <c r="C46" s="3" t="str">
        <f>IF(B46="","",IF(ISNUMBER(VALUE(_xlfn.TEXTBEFORE(B46," "))),_xlfn.XLOOKUP(VALUE(_xlfn.TEXTBEFORE(B46," ")),Legend!$B$11:$B$26,Legend!$A$11:$A$26,"NOT FOUND",0,1),_xlfn.TEXTBEFORE(B46," ")))</f>
        <v/>
      </c>
      <c r="D46" s="3" t="str">
        <f t="shared" si="0"/>
        <v/>
      </c>
      <c r="E46" s="159" t="str">
        <f>IF(C46="","",_xlfn.XLOOKUP(C46,Legend!$A$10:$A$26,Legend!$C$10:$C$26,"NOT FOUND",0,1))</f>
        <v/>
      </c>
      <c r="F46" s="160" t="str">
        <f>IF(C46="","",_xlfn.XLOOKUP(D46,Legend!$A$29:$A$118,Legend!$B$29:$B$118,"NOT FOUND",0,1))</f>
        <v/>
      </c>
      <c r="G46" s="268" t="str">
        <f>IF(C46="","",_xlfn.XLOOKUP(D46,Legend!$A$29:$A$118,Legend!$C$29:$C$118,"NOT FOUND",0,1))</f>
        <v/>
      </c>
    </row>
    <row r="47" spans="1:7" x14ac:dyDescent="0.2">
      <c r="A47" s="3">
        <v>1</v>
      </c>
      <c r="C47" s="3" t="str">
        <f>IF(B47="","",IF(ISNUMBER(VALUE(_xlfn.TEXTBEFORE(B47," "))),_xlfn.XLOOKUP(VALUE(_xlfn.TEXTBEFORE(B47," ")),Legend!$B$11:$B$26,Legend!$A$11:$A$26,"NOT FOUND",0,1),_xlfn.TEXTBEFORE(B47," ")))</f>
        <v/>
      </c>
      <c r="D47" s="3" t="str">
        <f t="shared" si="0"/>
        <v/>
      </c>
      <c r="E47" s="159" t="str">
        <f>IF(C47="","",_xlfn.XLOOKUP(C47,Legend!$A$10:$A$26,Legend!$C$10:$C$26,"NOT FOUND",0,1))</f>
        <v/>
      </c>
      <c r="F47" s="160" t="str">
        <f>IF(C47="","",_xlfn.XLOOKUP(D47,Legend!$A$29:$A$118,Legend!$B$29:$B$118,"NOT FOUND",0,1))</f>
        <v/>
      </c>
      <c r="G47" s="268" t="str">
        <f>IF(C47="","",_xlfn.XLOOKUP(D47,Legend!$A$29:$A$118,Legend!$C$29:$C$118,"NOT FOUND",0,1))</f>
        <v/>
      </c>
    </row>
    <row r="48" spans="1:7" x14ac:dyDescent="0.2">
      <c r="A48" s="3">
        <v>1</v>
      </c>
      <c r="C48" s="3" t="str">
        <f>IF(B48="","",IF(ISNUMBER(VALUE(_xlfn.TEXTBEFORE(B48," "))),_xlfn.XLOOKUP(VALUE(_xlfn.TEXTBEFORE(B48," ")),Legend!$B$11:$B$26,Legend!$A$11:$A$26,"NOT FOUND",0,1),_xlfn.TEXTBEFORE(B48," ")))</f>
        <v/>
      </c>
      <c r="D48" s="3" t="str">
        <f t="shared" si="0"/>
        <v/>
      </c>
      <c r="E48" s="159" t="str">
        <f>IF(C48="","",_xlfn.XLOOKUP(C48,Legend!$A$10:$A$26,Legend!$C$10:$C$26,"NOT FOUND",0,1))</f>
        <v/>
      </c>
      <c r="F48" s="160" t="str">
        <f>IF(C48="","",_xlfn.XLOOKUP(D48,Legend!$A$29:$A$118,Legend!$B$29:$B$118,"NOT FOUND",0,1))</f>
        <v/>
      </c>
      <c r="G48" s="268" t="str">
        <f>IF(C48="","",_xlfn.XLOOKUP(D48,Legend!$A$29:$A$118,Legend!$C$29:$C$118,"NOT FOUND",0,1))</f>
        <v/>
      </c>
    </row>
    <row r="49" spans="1:7" x14ac:dyDescent="0.2">
      <c r="A49" s="3">
        <v>1</v>
      </c>
      <c r="C49" s="3" t="str">
        <f>IF(B49="","",IF(ISNUMBER(VALUE(_xlfn.TEXTBEFORE(B49," "))),_xlfn.XLOOKUP(VALUE(_xlfn.TEXTBEFORE(B49," ")),Legend!$B$11:$B$26,Legend!$A$11:$A$26,"NOT FOUND",0,1),_xlfn.TEXTBEFORE(B49," ")))</f>
        <v/>
      </c>
      <c r="D49" s="3" t="str">
        <f t="shared" si="0"/>
        <v/>
      </c>
      <c r="E49" s="159" t="str">
        <f>IF(C49="","",_xlfn.XLOOKUP(C49,Legend!$A$10:$A$26,Legend!$C$10:$C$26,"NOT FOUND",0,1))</f>
        <v/>
      </c>
      <c r="F49" s="160" t="str">
        <f>IF(C49="","",_xlfn.XLOOKUP(D49,Legend!$A$29:$A$118,Legend!$B$29:$B$118,"NOT FOUND",0,1))</f>
        <v/>
      </c>
      <c r="G49" s="268" t="str">
        <f>IF(C49="","",_xlfn.XLOOKUP(D49,Legend!$A$29:$A$118,Legend!$C$29:$C$118,"NOT FOUND",0,1))</f>
        <v/>
      </c>
    </row>
    <row r="50" spans="1:7" x14ac:dyDescent="0.2">
      <c r="A50" s="3">
        <v>1</v>
      </c>
      <c r="C50" s="3" t="str">
        <f>IF(B50="","",IF(ISNUMBER(VALUE(_xlfn.TEXTBEFORE(B50," "))),_xlfn.XLOOKUP(VALUE(_xlfn.TEXTBEFORE(B50," ")),Legend!$B$11:$B$26,Legend!$A$11:$A$26,"NOT FOUND",0,1),_xlfn.TEXTBEFORE(B50," ")))</f>
        <v/>
      </c>
      <c r="D50" s="3" t="str">
        <f t="shared" si="0"/>
        <v/>
      </c>
      <c r="E50" s="159" t="str">
        <f>IF(C50="","",_xlfn.XLOOKUP(C50,Legend!$A$10:$A$26,Legend!$C$10:$C$26,"NOT FOUND",0,1))</f>
        <v/>
      </c>
      <c r="F50" s="160" t="str">
        <f>IF(C50="","",_xlfn.XLOOKUP(D50,Legend!$A$29:$A$118,Legend!$B$29:$B$118,"NOT FOUND",0,1))</f>
        <v/>
      </c>
      <c r="G50" s="268" t="str">
        <f>IF(C50="","",_xlfn.XLOOKUP(D50,Legend!$A$29:$A$118,Legend!$C$29:$C$118,"NOT FOUND",0,1))</f>
        <v/>
      </c>
    </row>
    <row r="51" spans="1:7" x14ac:dyDescent="0.2">
      <c r="A51" s="3">
        <v>1</v>
      </c>
      <c r="C51" s="3" t="str">
        <f>IF(B51="","",IF(ISNUMBER(VALUE(_xlfn.TEXTBEFORE(B51," "))),_xlfn.XLOOKUP(VALUE(_xlfn.TEXTBEFORE(B51," ")),Legend!$B$11:$B$26,Legend!$A$11:$A$26,"NOT FOUND",0,1),_xlfn.TEXTBEFORE(B51," ")))</f>
        <v/>
      </c>
      <c r="D51" s="3" t="str">
        <f t="shared" si="0"/>
        <v/>
      </c>
      <c r="E51" s="159" t="str">
        <f>IF(C51="","",_xlfn.XLOOKUP(C51,Legend!$A$10:$A$26,Legend!$C$10:$C$26,"NOT FOUND",0,1))</f>
        <v/>
      </c>
      <c r="F51" s="160" t="str">
        <f>IF(C51="","",_xlfn.XLOOKUP(D51,Legend!$A$29:$A$118,Legend!$B$29:$B$118,"NOT FOUND",0,1))</f>
        <v/>
      </c>
      <c r="G51" s="268" t="str">
        <f>IF(C51="","",_xlfn.XLOOKUP(D51,Legend!$A$29:$A$118,Legend!$C$29:$C$118,"NOT FOUND",0,1))</f>
        <v/>
      </c>
    </row>
    <row r="52" spans="1:7" x14ac:dyDescent="0.2">
      <c r="A52" s="3">
        <v>1</v>
      </c>
      <c r="C52" s="3" t="str">
        <f>IF(B52="","",IF(ISNUMBER(VALUE(_xlfn.TEXTBEFORE(B52," "))),_xlfn.XLOOKUP(VALUE(_xlfn.TEXTBEFORE(B52," ")),Legend!$B$11:$B$26,Legend!$A$11:$A$26,"NOT FOUND",0,1),_xlfn.TEXTBEFORE(B52," ")))</f>
        <v/>
      </c>
      <c r="D52" s="3" t="str">
        <f t="shared" si="0"/>
        <v/>
      </c>
      <c r="E52" s="159" t="str">
        <f>IF(C52="","",_xlfn.XLOOKUP(C52,Legend!$A$10:$A$26,Legend!$C$10:$C$26,"NOT FOUND",0,1))</f>
        <v/>
      </c>
      <c r="F52" s="160" t="str">
        <f>IF(C52="","",_xlfn.XLOOKUP(D52,Legend!$A$29:$A$118,Legend!$B$29:$B$118,"NOT FOUND",0,1))</f>
        <v/>
      </c>
      <c r="G52" s="268" t="str">
        <f>IF(C52="","",_xlfn.XLOOKUP(D52,Legend!$A$29:$A$118,Legend!$C$29:$C$118,"NOT FOUND",0,1))</f>
        <v/>
      </c>
    </row>
    <row r="53" spans="1:7" x14ac:dyDescent="0.2">
      <c r="A53" s="3">
        <v>1</v>
      </c>
      <c r="C53" s="3" t="str">
        <f>IF(B53="","",IF(ISNUMBER(VALUE(_xlfn.TEXTBEFORE(B53," "))),_xlfn.XLOOKUP(VALUE(_xlfn.TEXTBEFORE(B53," ")),Legend!$B$11:$B$26,Legend!$A$11:$A$26,"NOT FOUND",0,1),_xlfn.TEXTBEFORE(B53," ")))</f>
        <v/>
      </c>
      <c r="D53" s="3" t="str">
        <f t="shared" si="0"/>
        <v/>
      </c>
      <c r="E53" s="159" t="str">
        <f>IF(C53="","",_xlfn.XLOOKUP(C53,Legend!$A$10:$A$26,Legend!$C$10:$C$26,"NOT FOUND",0,1))</f>
        <v/>
      </c>
      <c r="F53" s="160" t="str">
        <f>IF(C53="","",_xlfn.XLOOKUP(D53,Legend!$A$29:$A$118,Legend!$B$29:$B$118,"NOT FOUND",0,1))</f>
        <v/>
      </c>
      <c r="G53" s="268" t="str">
        <f>IF(C53="","",_xlfn.XLOOKUP(D53,Legend!$A$29:$A$118,Legend!$C$29:$C$118,"NOT FOUND",0,1))</f>
        <v/>
      </c>
    </row>
    <row r="54" spans="1:7" x14ac:dyDescent="0.2">
      <c r="A54" s="3">
        <v>1</v>
      </c>
      <c r="C54" s="3" t="str">
        <f>IF(B54="","",IF(ISNUMBER(VALUE(_xlfn.TEXTBEFORE(B54," "))),_xlfn.XLOOKUP(VALUE(_xlfn.TEXTBEFORE(B54," ")),Legend!$B$11:$B$26,Legend!$A$11:$A$26,"NOT FOUND",0,1),_xlfn.TEXTBEFORE(B54," ")))</f>
        <v/>
      </c>
      <c r="D54" s="3" t="str">
        <f t="shared" si="0"/>
        <v/>
      </c>
      <c r="E54" s="159" t="str">
        <f>IF(C54="","",_xlfn.XLOOKUP(C54,Legend!$A$10:$A$26,Legend!$C$10:$C$26,"NOT FOUND",0,1))</f>
        <v/>
      </c>
      <c r="F54" s="160" t="str">
        <f>IF(C54="","",_xlfn.XLOOKUP(D54,Legend!$A$29:$A$118,Legend!$B$29:$B$118,"NOT FOUND",0,1))</f>
        <v/>
      </c>
      <c r="G54" s="268" t="str">
        <f>IF(C54="","",_xlfn.XLOOKUP(D54,Legend!$A$29:$A$118,Legend!$C$29:$C$118,"NOT FOUND",0,1))</f>
        <v/>
      </c>
    </row>
    <row r="55" spans="1:7" x14ac:dyDescent="0.2">
      <c r="A55" s="3">
        <v>1</v>
      </c>
      <c r="C55" s="3" t="str">
        <f>IF(B55="","",IF(ISNUMBER(VALUE(_xlfn.TEXTBEFORE(B55," "))),_xlfn.XLOOKUP(VALUE(_xlfn.TEXTBEFORE(B55," ")),Legend!$B$11:$B$26,Legend!$A$11:$A$26,"NOT FOUND",0,1),_xlfn.TEXTBEFORE(B55," ")))</f>
        <v/>
      </c>
      <c r="D55" s="3" t="str">
        <f t="shared" si="0"/>
        <v/>
      </c>
      <c r="E55" s="159" t="str">
        <f>IF(C55="","",_xlfn.XLOOKUP(C55,Legend!$A$10:$A$26,Legend!$C$10:$C$26,"NOT FOUND",0,1))</f>
        <v/>
      </c>
      <c r="F55" s="160" t="str">
        <f>IF(C55="","",_xlfn.XLOOKUP(D55,Legend!$A$29:$A$118,Legend!$B$29:$B$118,"NOT FOUND",0,1))</f>
        <v/>
      </c>
      <c r="G55" s="268" t="str">
        <f>IF(C55="","",_xlfn.XLOOKUP(D55,Legend!$A$29:$A$118,Legend!$C$29:$C$118,"NOT FOUND",0,1))</f>
        <v/>
      </c>
    </row>
    <row r="56" spans="1:7" x14ac:dyDescent="0.2">
      <c r="A56" s="3">
        <v>1</v>
      </c>
      <c r="C56" s="3" t="str">
        <f>IF(B56="","",IF(ISNUMBER(VALUE(_xlfn.TEXTBEFORE(B56," "))),_xlfn.XLOOKUP(VALUE(_xlfn.TEXTBEFORE(B56," ")),Legend!$B$11:$B$26,Legend!$A$11:$A$26,"NOT FOUND",0,1),_xlfn.TEXTBEFORE(B56," ")))</f>
        <v/>
      </c>
      <c r="D56" s="3" t="str">
        <f t="shared" si="0"/>
        <v/>
      </c>
      <c r="E56" s="159" t="str">
        <f>IF(C56="","",_xlfn.XLOOKUP(C56,Legend!$A$10:$A$26,Legend!$C$10:$C$26,"NOT FOUND",0,1))</f>
        <v/>
      </c>
      <c r="F56" s="160" t="str">
        <f>IF(C56="","",_xlfn.XLOOKUP(D56,Legend!$A$29:$A$118,Legend!$B$29:$B$118,"NOT FOUND",0,1))</f>
        <v/>
      </c>
      <c r="G56" s="268" t="str">
        <f>IF(C56="","",_xlfn.XLOOKUP(D56,Legend!$A$29:$A$118,Legend!$C$29:$C$118,"NOT FOUND",0,1))</f>
        <v/>
      </c>
    </row>
    <row r="57" spans="1:7" x14ac:dyDescent="0.2">
      <c r="A57" s="3">
        <v>1</v>
      </c>
      <c r="C57" s="3" t="str">
        <f>IF(B57="","",IF(ISNUMBER(VALUE(_xlfn.TEXTBEFORE(B57," "))),_xlfn.XLOOKUP(VALUE(_xlfn.TEXTBEFORE(B57," ")),Legend!$B$11:$B$26,Legend!$A$11:$A$26,"NOT FOUND",0,1),_xlfn.TEXTBEFORE(B57," ")))</f>
        <v/>
      </c>
      <c r="D57" s="3" t="str">
        <f t="shared" si="0"/>
        <v/>
      </c>
      <c r="E57" s="159" t="str">
        <f>IF(C57="","",_xlfn.XLOOKUP(C57,Legend!$A$10:$A$26,Legend!$C$10:$C$26,"NOT FOUND",0,1))</f>
        <v/>
      </c>
      <c r="F57" s="160" t="str">
        <f>IF(C57="","",_xlfn.XLOOKUP(D57,Legend!$A$29:$A$118,Legend!$B$29:$B$118,"NOT FOUND",0,1))</f>
        <v/>
      </c>
      <c r="G57" s="268" t="str">
        <f>IF(C57="","",_xlfn.XLOOKUP(D57,Legend!$A$29:$A$118,Legend!$C$29:$C$118,"NOT FOUND",0,1))</f>
        <v/>
      </c>
    </row>
    <row r="58" spans="1:7" x14ac:dyDescent="0.2">
      <c r="A58" s="3">
        <v>1</v>
      </c>
      <c r="C58" s="3" t="str">
        <f>IF(B58="","",IF(ISNUMBER(VALUE(_xlfn.TEXTBEFORE(B58," "))),_xlfn.XLOOKUP(VALUE(_xlfn.TEXTBEFORE(B58," ")),Legend!$B$11:$B$26,Legend!$A$11:$A$26,"NOT FOUND",0,1),_xlfn.TEXTBEFORE(B58," ")))</f>
        <v/>
      </c>
      <c r="D58" s="3" t="str">
        <f t="shared" si="0"/>
        <v/>
      </c>
      <c r="E58" s="159" t="str">
        <f>IF(C58="","",_xlfn.XLOOKUP(C58,Legend!$A$10:$A$26,Legend!$C$10:$C$26,"NOT FOUND",0,1))</f>
        <v/>
      </c>
      <c r="F58" s="160" t="str">
        <f>IF(C58="","",_xlfn.XLOOKUP(D58,Legend!$A$29:$A$118,Legend!$B$29:$B$118,"NOT FOUND",0,1))</f>
        <v/>
      </c>
      <c r="G58" s="268" t="str">
        <f>IF(C58="","",_xlfn.XLOOKUP(D58,Legend!$A$29:$A$118,Legend!$C$29:$C$118,"NOT FOUND",0,1))</f>
        <v/>
      </c>
    </row>
    <row r="59" spans="1:7" x14ac:dyDescent="0.2">
      <c r="A59" s="3">
        <v>1</v>
      </c>
      <c r="C59" s="3" t="str">
        <f>IF(B59="","",IF(ISNUMBER(VALUE(_xlfn.TEXTBEFORE(B59," "))),_xlfn.XLOOKUP(VALUE(_xlfn.TEXTBEFORE(B59," ")),Legend!$B$11:$B$26,Legend!$A$11:$A$26,"NOT FOUND",0,1),_xlfn.TEXTBEFORE(B59," ")))</f>
        <v/>
      </c>
      <c r="D59" s="3" t="str">
        <f t="shared" si="0"/>
        <v/>
      </c>
      <c r="E59" s="159" t="str">
        <f>IF(C59="","",_xlfn.XLOOKUP(C59,Legend!$A$10:$A$26,Legend!$C$10:$C$26,"NOT FOUND",0,1))</f>
        <v/>
      </c>
      <c r="F59" s="160" t="str">
        <f>IF(C59="","",_xlfn.XLOOKUP(D59,Legend!$A$29:$A$118,Legend!$B$29:$B$118,"NOT FOUND",0,1))</f>
        <v/>
      </c>
      <c r="G59" s="268" t="str">
        <f>IF(C59="","",_xlfn.XLOOKUP(D59,Legend!$A$29:$A$118,Legend!$C$29:$C$118,"NOT FOUND",0,1))</f>
        <v/>
      </c>
    </row>
    <row r="60" spans="1:7" x14ac:dyDescent="0.2">
      <c r="A60" s="3">
        <v>1</v>
      </c>
      <c r="C60" s="3" t="str">
        <f>IF(B60="","",IF(ISNUMBER(VALUE(_xlfn.TEXTBEFORE(B60," "))),_xlfn.XLOOKUP(VALUE(_xlfn.TEXTBEFORE(B60," ")),Legend!$B$11:$B$26,Legend!$A$11:$A$26,"NOT FOUND",0,1),_xlfn.TEXTBEFORE(B60," ")))</f>
        <v/>
      </c>
      <c r="D60" s="3" t="str">
        <f t="shared" si="0"/>
        <v/>
      </c>
      <c r="E60" s="159" t="str">
        <f>IF(C60="","",_xlfn.XLOOKUP(C60,Legend!$A$10:$A$26,Legend!$C$10:$C$26,"NOT FOUND",0,1))</f>
        <v/>
      </c>
      <c r="F60" s="160" t="str">
        <f>IF(C60="","",_xlfn.XLOOKUP(D60,Legend!$A$29:$A$118,Legend!$B$29:$B$118,"NOT FOUND",0,1))</f>
        <v/>
      </c>
      <c r="G60" s="268" t="str">
        <f>IF(C60="","",_xlfn.XLOOKUP(D60,Legend!$A$29:$A$118,Legend!$C$29:$C$118,"NOT FOUND",0,1))</f>
        <v/>
      </c>
    </row>
    <row r="61" spans="1:7" x14ac:dyDescent="0.2">
      <c r="A61" s="3">
        <v>1</v>
      </c>
      <c r="C61" s="3" t="str">
        <f>IF(B61="","",IF(ISNUMBER(VALUE(_xlfn.TEXTBEFORE(B61," "))),_xlfn.XLOOKUP(VALUE(_xlfn.TEXTBEFORE(B61," ")),Legend!$B$11:$B$26,Legend!$A$11:$A$26,"NOT FOUND",0,1),_xlfn.TEXTBEFORE(B61," ")))</f>
        <v/>
      </c>
      <c r="D61" s="3" t="str">
        <f t="shared" si="0"/>
        <v/>
      </c>
      <c r="E61" s="159" t="str">
        <f>IF(C61="","",_xlfn.XLOOKUP(C61,Legend!$A$10:$A$26,Legend!$C$10:$C$26,"NOT FOUND",0,1))</f>
        <v/>
      </c>
      <c r="F61" s="160" t="str">
        <f>IF(C61="","",_xlfn.XLOOKUP(D61,Legend!$A$29:$A$118,Legend!$B$29:$B$118,"NOT FOUND",0,1))</f>
        <v/>
      </c>
      <c r="G61" s="268" t="str">
        <f>IF(C61="","",_xlfn.XLOOKUP(D61,Legend!$A$29:$A$118,Legend!$C$29:$C$118,"NOT FOUND",0,1))</f>
        <v/>
      </c>
    </row>
    <row r="62" spans="1:7" x14ac:dyDescent="0.2">
      <c r="A62" s="3">
        <v>1</v>
      </c>
      <c r="C62" s="3" t="str">
        <f>IF(B62="","",IF(ISNUMBER(VALUE(_xlfn.TEXTBEFORE(B62," "))),_xlfn.XLOOKUP(VALUE(_xlfn.TEXTBEFORE(B62," ")),Legend!$B$11:$B$26,Legend!$A$11:$A$26,"NOT FOUND",0,1),_xlfn.TEXTBEFORE(B62," ")))</f>
        <v/>
      </c>
      <c r="D62" s="3" t="str">
        <f t="shared" si="0"/>
        <v/>
      </c>
      <c r="E62" s="159" t="str">
        <f>IF(C62="","",_xlfn.XLOOKUP(C62,Legend!$A$10:$A$26,Legend!$C$10:$C$26,"NOT FOUND",0,1))</f>
        <v/>
      </c>
      <c r="F62" s="160" t="str">
        <f>IF(C62="","",_xlfn.XLOOKUP(D62,Legend!$A$29:$A$118,Legend!$B$29:$B$118,"NOT FOUND",0,1))</f>
        <v/>
      </c>
      <c r="G62" s="268" t="str">
        <f>IF(C62="","",_xlfn.XLOOKUP(D62,Legend!$A$29:$A$118,Legend!$C$29:$C$118,"NOT FOUND",0,1))</f>
        <v/>
      </c>
    </row>
    <row r="63" spans="1:7" x14ac:dyDescent="0.2">
      <c r="A63" s="3">
        <v>1</v>
      </c>
      <c r="C63" s="3" t="str">
        <f>IF(B63="","",IF(ISNUMBER(VALUE(_xlfn.TEXTBEFORE(B63," "))),_xlfn.XLOOKUP(VALUE(_xlfn.TEXTBEFORE(B63," ")),Legend!$B$11:$B$26,Legend!$A$11:$A$26,"NOT FOUND",0,1),_xlfn.TEXTBEFORE(B63," ")))</f>
        <v/>
      </c>
      <c r="D63" s="3" t="str">
        <f t="shared" si="0"/>
        <v/>
      </c>
      <c r="E63" s="159" t="str">
        <f>IF(C63="","",_xlfn.XLOOKUP(C63,Legend!$A$10:$A$26,Legend!$C$10:$C$26,"NOT FOUND",0,1))</f>
        <v/>
      </c>
      <c r="F63" s="160" t="str">
        <f>IF(C63="","",_xlfn.XLOOKUP(D63,Legend!$A$29:$A$118,Legend!$B$29:$B$118,"NOT FOUND",0,1))</f>
        <v/>
      </c>
      <c r="G63" s="268" t="str">
        <f>IF(C63="","",_xlfn.XLOOKUP(D63,Legend!$A$29:$A$118,Legend!$C$29:$C$118,"NOT FOUND",0,1))</f>
        <v/>
      </c>
    </row>
    <row r="64" spans="1:7" x14ac:dyDescent="0.2">
      <c r="A64" s="3">
        <v>1</v>
      </c>
      <c r="C64" s="3" t="str">
        <f>IF(B64="","",IF(ISNUMBER(VALUE(_xlfn.TEXTBEFORE(B64," "))),_xlfn.XLOOKUP(VALUE(_xlfn.TEXTBEFORE(B64," ")),Legend!$B$11:$B$26,Legend!$A$11:$A$26,"NOT FOUND",0,1),_xlfn.TEXTBEFORE(B64," ")))</f>
        <v/>
      </c>
      <c r="D64" s="3" t="str">
        <f t="shared" si="0"/>
        <v/>
      </c>
      <c r="E64" s="159" t="str">
        <f>IF(C64="","",_xlfn.XLOOKUP(C64,Legend!$A$10:$A$26,Legend!$C$10:$C$26,"NOT FOUND",0,1))</f>
        <v/>
      </c>
      <c r="F64" s="160" t="str">
        <f>IF(C64="","",_xlfn.XLOOKUP(D64,Legend!$A$29:$A$118,Legend!$B$29:$B$118,"NOT FOUND",0,1))</f>
        <v/>
      </c>
      <c r="G64" s="268" t="str">
        <f>IF(C64="","",_xlfn.XLOOKUP(D64,Legend!$A$29:$A$118,Legend!$C$29:$C$118,"NOT FOUND",0,1))</f>
        <v/>
      </c>
    </row>
    <row r="65" spans="1:7" x14ac:dyDescent="0.2">
      <c r="A65" s="3">
        <v>1</v>
      </c>
      <c r="C65" s="3" t="str">
        <f>IF(B65="","",IF(ISNUMBER(VALUE(_xlfn.TEXTBEFORE(B65," "))),_xlfn.XLOOKUP(VALUE(_xlfn.TEXTBEFORE(B65," ")),Legend!$B$11:$B$26,Legend!$A$11:$A$26,"NOT FOUND",0,1),_xlfn.TEXTBEFORE(B65," ")))</f>
        <v/>
      </c>
      <c r="D65" s="3" t="str">
        <f t="shared" si="0"/>
        <v/>
      </c>
      <c r="E65" s="159" t="str">
        <f>IF(C65="","",_xlfn.XLOOKUP(C65,Legend!$A$10:$A$26,Legend!$C$10:$C$26,"NOT FOUND",0,1))</f>
        <v/>
      </c>
      <c r="F65" s="160" t="str">
        <f>IF(C65="","",_xlfn.XLOOKUP(D65,Legend!$A$29:$A$118,Legend!$B$29:$B$118,"NOT FOUND",0,1))</f>
        <v/>
      </c>
      <c r="G65" s="268" t="str">
        <f>IF(C65="","",_xlfn.XLOOKUP(D65,Legend!$A$29:$A$118,Legend!$C$29:$C$118,"NOT FOUND",0,1))</f>
        <v/>
      </c>
    </row>
    <row r="66" spans="1:7" x14ac:dyDescent="0.2">
      <c r="A66" s="3">
        <v>1</v>
      </c>
      <c r="C66" s="3" t="str">
        <f>IF(B66="","",IF(ISNUMBER(VALUE(_xlfn.TEXTBEFORE(B66," "))),_xlfn.XLOOKUP(VALUE(_xlfn.TEXTBEFORE(B66," ")),Legend!$B$11:$B$26,Legend!$A$11:$A$26,"NOT FOUND",0,1),_xlfn.TEXTBEFORE(B66," ")))</f>
        <v/>
      </c>
      <c r="D66" s="3" t="str">
        <f t="shared" ref="D66:D129" si="1">IF(B66="","",_xlfn.TEXTAFTER(B66," "))</f>
        <v/>
      </c>
      <c r="E66" s="159" t="str">
        <f>IF(C66="","",_xlfn.XLOOKUP(C66,Legend!$A$10:$A$26,Legend!$C$10:$C$26,"NOT FOUND",0,1))</f>
        <v/>
      </c>
      <c r="F66" s="160" t="str">
        <f>IF(C66="","",_xlfn.XLOOKUP(D66,Legend!$A$29:$A$118,Legend!$B$29:$B$118,"NOT FOUND",0,1))</f>
        <v/>
      </c>
      <c r="G66" s="268" t="str">
        <f>IF(C66="","",_xlfn.XLOOKUP(D66,Legend!$A$29:$A$118,Legend!$C$29:$C$118,"NOT FOUND",0,1))</f>
        <v/>
      </c>
    </row>
    <row r="67" spans="1:7" x14ac:dyDescent="0.2">
      <c r="A67" s="3">
        <v>1</v>
      </c>
      <c r="C67" s="3" t="str">
        <f>IF(B67="","",IF(ISNUMBER(VALUE(_xlfn.TEXTBEFORE(B67," "))),_xlfn.XLOOKUP(VALUE(_xlfn.TEXTBEFORE(B67," ")),Legend!$B$11:$B$26,Legend!$A$11:$A$26,"NOT FOUND",0,1),_xlfn.TEXTBEFORE(B67," ")))</f>
        <v/>
      </c>
      <c r="D67" s="3" t="str">
        <f t="shared" si="1"/>
        <v/>
      </c>
      <c r="E67" s="159" t="str">
        <f>IF(C67="","",_xlfn.XLOOKUP(C67,Legend!$A$10:$A$26,Legend!$C$10:$C$26,"NOT FOUND",0,1))</f>
        <v/>
      </c>
      <c r="F67" s="160" t="str">
        <f>IF(C67="","",_xlfn.XLOOKUP(D67,Legend!$A$29:$A$118,Legend!$B$29:$B$118,"NOT FOUND",0,1))</f>
        <v/>
      </c>
      <c r="G67" s="268" t="str">
        <f>IF(C67="","",_xlfn.XLOOKUP(D67,Legend!$A$29:$A$118,Legend!$C$29:$C$118,"NOT FOUND",0,1))</f>
        <v/>
      </c>
    </row>
    <row r="68" spans="1:7" x14ac:dyDescent="0.2">
      <c r="A68" s="3">
        <v>1</v>
      </c>
      <c r="C68" s="3" t="str">
        <f>IF(B68="","",IF(ISNUMBER(VALUE(_xlfn.TEXTBEFORE(B68," "))),_xlfn.XLOOKUP(VALUE(_xlfn.TEXTBEFORE(B68," ")),Legend!$B$11:$B$26,Legend!$A$11:$A$26,"NOT FOUND",0,1),_xlfn.TEXTBEFORE(B68," ")))</f>
        <v/>
      </c>
      <c r="D68" s="3" t="str">
        <f t="shared" si="1"/>
        <v/>
      </c>
      <c r="E68" s="159" t="str">
        <f>IF(C68="","",_xlfn.XLOOKUP(C68,Legend!$A$10:$A$26,Legend!$C$10:$C$26,"NOT FOUND",0,1))</f>
        <v/>
      </c>
      <c r="F68" s="160" t="str">
        <f>IF(C68="","",_xlfn.XLOOKUP(D68,Legend!$A$29:$A$118,Legend!$B$29:$B$118,"NOT FOUND",0,1))</f>
        <v/>
      </c>
      <c r="G68" s="268" t="str">
        <f>IF(C68="","",_xlfn.XLOOKUP(D68,Legend!$A$29:$A$118,Legend!$C$29:$C$118,"NOT FOUND",0,1))</f>
        <v/>
      </c>
    </row>
    <row r="69" spans="1:7" x14ac:dyDescent="0.2">
      <c r="A69" s="3">
        <v>1</v>
      </c>
      <c r="C69" s="3" t="str">
        <f>IF(B69="","",IF(ISNUMBER(VALUE(_xlfn.TEXTBEFORE(B69," "))),_xlfn.XLOOKUP(VALUE(_xlfn.TEXTBEFORE(B69," ")),Legend!$B$11:$B$26,Legend!$A$11:$A$26,"NOT FOUND",0,1),_xlfn.TEXTBEFORE(B69," ")))</f>
        <v/>
      </c>
      <c r="D69" s="3" t="str">
        <f t="shared" si="1"/>
        <v/>
      </c>
      <c r="E69" s="159" t="str">
        <f>IF(C69="","",_xlfn.XLOOKUP(C69,Legend!$A$10:$A$26,Legend!$C$10:$C$26,"NOT FOUND",0,1))</f>
        <v/>
      </c>
      <c r="F69" s="160" t="str">
        <f>IF(C69="","",_xlfn.XLOOKUP(D69,Legend!$A$29:$A$118,Legend!$B$29:$B$118,"NOT FOUND",0,1))</f>
        <v/>
      </c>
      <c r="G69" s="268" t="str">
        <f>IF(C69="","",_xlfn.XLOOKUP(D69,Legend!$A$29:$A$118,Legend!$C$29:$C$118,"NOT FOUND",0,1))</f>
        <v/>
      </c>
    </row>
    <row r="70" spans="1:7" x14ac:dyDescent="0.2">
      <c r="A70" s="3">
        <v>1</v>
      </c>
      <c r="C70" s="3" t="str">
        <f>IF(B70="","",IF(ISNUMBER(VALUE(_xlfn.TEXTBEFORE(B70," "))),_xlfn.XLOOKUP(VALUE(_xlfn.TEXTBEFORE(B70," ")),Legend!$B$11:$B$26,Legend!$A$11:$A$26,"NOT FOUND",0,1),_xlfn.TEXTBEFORE(B70," ")))</f>
        <v/>
      </c>
      <c r="D70" s="3" t="str">
        <f t="shared" si="1"/>
        <v/>
      </c>
      <c r="E70" s="159" t="str">
        <f>IF(C70="","",_xlfn.XLOOKUP(C70,Legend!$A$10:$A$26,Legend!$C$10:$C$26,"NOT FOUND",0,1))</f>
        <v/>
      </c>
      <c r="F70" s="160" t="str">
        <f>IF(C70="","",_xlfn.XLOOKUP(D70,Legend!$A$29:$A$118,Legend!$B$29:$B$118,"NOT FOUND",0,1))</f>
        <v/>
      </c>
      <c r="G70" s="268" t="str">
        <f>IF(C70="","",_xlfn.XLOOKUP(D70,Legend!$A$29:$A$118,Legend!$C$29:$C$118,"NOT FOUND",0,1))</f>
        <v/>
      </c>
    </row>
    <row r="71" spans="1:7" x14ac:dyDescent="0.2">
      <c r="A71" s="3">
        <v>1</v>
      </c>
      <c r="C71" s="3" t="str">
        <f>IF(B71="","",IF(ISNUMBER(VALUE(_xlfn.TEXTBEFORE(B71," "))),_xlfn.XLOOKUP(VALUE(_xlfn.TEXTBEFORE(B71," ")),Legend!$B$11:$B$26,Legend!$A$11:$A$26,"NOT FOUND",0,1),_xlfn.TEXTBEFORE(B71," ")))</f>
        <v/>
      </c>
      <c r="D71" s="3" t="str">
        <f t="shared" si="1"/>
        <v/>
      </c>
      <c r="E71" s="159" t="str">
        <f>IF(C71="","",_xlfn.XLOOKUP(C71,Legend!$A$10:$A$26,Legend!$C$10:$C$26,"NOT FOUND",0,1))</f>
        <v/>
      </c>
      <c r="F71" s="160" t="str">
        <f>IF(C71="","",_xlfn.XLOOKUP(D71,Legend!$A$29:$A$118,Legend!$B$29:$B$118,"NOT FOUND",0,1))</f>
        <v/>
      </c>
      <c r="G71" s="268" t="str">
        <f>IF(C71="","",_xlfn.XLOOKUP(D71,Legend!$A$29:$A$118,Legend!$C$29:$C$118,"NOT FOUND",0,1))</f>
        <v/>
      </c>
    </row>
    <row r="72" spans="1:7" x14ac:dyDescent="0.2">
      <c r="A72" s="3">
        <v>1</v>
      </c>
      <c r="C72" s="3" t="str">
        <f>IF(B72="","",IF(ISNUMBER(VALUE(_xlfn.TEXTBEFORE(B72," "))),_xlfn.XLOOKUP(VALUE(_xlfn.TEXTBEFORE(B72," ")),Legend!$B$11:$B$26,Legend!$A$11:$A$26,"NOT FOUND",0,1),_xlfn.TEXTBEFORE(B72," ")))</f>
        <v/>
      </c>
      <c r="D72" s="3" t="str">
        <f t="shared" si="1"/>
        <v/>
      </c>
      <c r="E72" s="159" t="str">
        <f>IF(C72="","",_xlfn.XLOOKUP(C72,Legend!$A$10:$A$26,Legend!$C$10:$C$26,"NOT FOUND",0,1))</f>
        <v/>
      </c>
      <c r="F72" s="160" t="str">
        <f>IF(C72="","",_xlfn.XLOOKUP(D72,Legend!$A$29:$A$118,Legend!$B$29:$B$118,"NOT FOUND",0,1))</f>
        <v/>
      </c>
      <c r="G72" s="268" t="str">
        <f>IF(C72="","",_xlfn.XLOOKUP(D72,Legend!$A$29:$A$118,Legend!$C$29:$C$118,"NOT FOUND",0,1))</f>
        <v/>
      </c>
    </row>
    <row r="73" spans="1:7" x14ac:dyDescent="0.2">
      <c r="A73" s="3">
        <v>1</v>
      </c>
      <c r="C73" s="3" t="str">
        <f>IF(B73="","",IF(ISNUMBER(VALUE(_xlfn.TEXTBEFORE(B73," "))),_xlfn.XLOOKUP(VALUE(_xlfn.TEXTBEFORE(B73," ")),Legend!$B$11:$B$26,Legend!$A$11:$A$26,"NOT FOUND",0,1),_xlfn.TEXTBEFORE(B73," ")))</f>
        <v/>
      </c>
      <c r="D73" s="3" t="str">
        <f t="shared" si="1"/>
        <v/>
      </c>
      <c r="E73" s="159" t="str">
        <f>IF(C73="","",_xlfn.XLOOKUP(C73,Legend!$A$10:$A$26,Legend!$C$10:$C$26,"NOT FOUND",0,1))</f>
        <v/>
      </c>
      <c r="F73" s="160" t="str">
        <f>IF(C73="","",_xlfn.XLOOKUP(D73,Legend!$A$29:$A$118,Legend!$B$29:$B$118,"NOT FOUND",0,1))</f>
        <v/>
      </c>
      <c r="G73" s="268" t="str">
        <f>IF(C73="","",_xlfn.XLOOKUP(D73,Legend!$A$29:$A$118,Legend!$C$29:$C$118,"NOT FOUND",0,1))</f>
        <v/>
      </c>
    </row>
    <row r="74" spans="1:7" x14ac:dyDescent="0.2">
      <c r="A74" s="3">
        <v>1</v>
      </c>
      <c r="C74" s="3" t="str">
        <f>IF(B74="","",IF(ISNUMBER(VALUE(_xlfn.TEXTBEFORE(B74," "))),_xlfn.XLOOKUP(VALUE(_xlfn.TEXTBEFORE(B74," ")),Legend!$B$11:$B$26,Legend!$A$11:$A$26,"NOT FOUND",0,1),_xlfn.TEXTBEFORE(B74," ")))</f>
        <v/>
      </c>
      <c r="D74" s="3" t="str">
        <f t="shared" si="1"/>
        <v/>
      </c>
      <c r="E74" s="159" t="str">
        <f>IF(C74="","",_xlfn.XLOOKUP(C74,Legend!$A$10:$A$26,Legend!$C$10:$C$26,"NOT FOUND",0,1))</f>
        <v/>
      </c>
      <c r="F74" s="160" t="str">
        <f>IF(C74="","",_xlfn.XLOOKUP(D74,Legend!$A$29:$A$118,Legend!$B$29:$B$118,"NOT FOUND",0,1))</f>
        <v/>
      </c>
      <c r="G74" s="268" t="str">
        <f>IF(C74="","",_xlfn.XLOOKUP(D74,Legend!$A$29:$A$118,Legend!$C$29:$C$118,"NOT FOUND",0,1))</f>
        <v/>
      </c>
    </row>
    <row r="75" spans="1:7" x14ac:dyDescent="0.2">
      <c r="A75" s="3">
        <v>1</v>
      </c>
      <c r="C75" s="3" t="str">
        <f>IF(B75="","",IF(ISNUMBER(VALUE(_xlfn.TEXTBEFORE(B75," "))),_xlfn.XLOOKUP(VALUE(_xlfn.TEXTBEFORE(B75," ")),Legend!$B$11:$B$26,Legend!$A$11:$A$26,"NOT FOUND",0,1),_xlfn.TEXTBEFORE(B75," ")))</f>
        <v/>
      </c>
      <c r="D75" s="3" t="str">
        <f t="shared" si="1"/>
        <v/>
      </c>
      <c r="E75" s="159" t="str">
        <f>IF(C75="","",_xlfn.XLOOKUP(C75,Legend!$A$10:$A$26,Legend!$C$10:$C$26,"NOT FOUND",0,1))</f>
        <v/>
      </c>
      <c r="F75" s="160" t="str">
        <f>IF(C75="","",_xlfn.XLOOKUP(D75,Legend!$A$29:$A$118,Legend!$B$29:$B$118,"NOT FOUND",0,1))</f>
        <v/>
      </c>
      <c r="G75" s="268" t="str">
        <f>IF(C75="","",_xlfn.XLOOKUP(D75,Legend!$A$29:$A$118,Legend!$C$29:$C$118,"NOT FOUND",0,1))</f>
        <v/>
      </c>
    </row>
    <row r="76" spans="1:7" x14ac:dyDescent="0.2">
      <c r="A76" s="3">
        <v>1</v>
      </c>
      <c r="C76" s="3" t="str">
        <f>IF(B76="","",IF(ISNUMBER(VALUE(_xlfn.TEXTBEFORE(B76," "))),_xlfn.XLOOKUP(VALUE(_xlfn.TEXTBEFORE(B76," ")),Legend!$B$11:$B$26,Legend!$A$11:$A$26,"NOT FOUND",0,1),_xlfn.TEXTBEFORE(B76," ")))</f>
        <v/>
      </c>
      <c r="D76" s="3" t="str">
        <f t="shared" si="1"/>
        <v/>
      </c>
      <c r="E76" s="159" t="str">
        <f>IF(C76="","",_xlfn.XLOOKUP(C76,Legend!$A$10:$A$26,Legend!$C$10:$C$26,"NOT FOUND",0,1))</f>
        <v/>
      </c>
      <c r="F76" s="160" t="str">
        <f>IF(C76="","",_xlfn.XLOOKUP(D76,Legend!$A$29:$A$118,Legend!$B$29:$B$118,"NOT FOUND",0,1))</f>
        <v/>
      </c>
      <c r="G76" s="268" t="str">
        <f>IF(C76="","",_xlfn.XLOOKUP(D76,Legend!$A$29:$A$118,Legend!$C$29:$C$118,"NOT FOUND",0,1))</f>
        <v/>
      </c>
    </row>
    <row r="77" spans="1:7" x14ac:dyDescent="0.2">
      <c r="A77" s="3">
        <v>1</v>
      </c>
      <c r="C77" s="3" t="str">
        <f>IF(B77="","",IF(ISNUMBER(VALUE(_xlfn.TEXTBEFORE(B77," "))),_xlfn.XLOOKUP(VALUE(_xlfn.TEXTBEFORE(B77," ")),Legend!$B$11:$B$26,Legend!$A$11:$A$26,"NOT FOUND",0,1),_xlfn.TEXTBEFORE(B77," ")))</f>
        <v/>
      </c>
      <c r="D77" s="3" t="str">
        <f t="shared" si="1"/>
        <v/>
      </c>
      <c r="E77" s="159" t="str">
        <f>IF(C77="","",_xlfn.XLOOKUP(C77,Legend!$A$10:$A$26,Legend!$C$10:$C$26,"NOT FOUND",0,1))</f>
        <v/>
      </c>
      <c r="F77" s="160" t="str">
        <f>IF(C77="","",_xlfn.XLOOKUP(D77,Legend!$A$29:$A$118,Legend!$B$29:$B$118,"NOT FOUND",0,1))</f>
        <v/>
      </c>
      <c r="G77" s="268" t="str">
        <f>IF(C77="","",_xlfn.XLOOKUP(D77,Legend!$A$29:$A$118,Legend!$C$29:$C$118,"NOT FOUND",0,1))</f>
        <v/>
      </c>
    </row>
    <row r="78" spans="1:7" x14ac:dyDescent="0.2">
      <c r="A78" s="3">
        <v>1</v>
      </c>
      <c r="C78" s="3" t="str">
        <f>IF(B78="","",IF(ISNUMBER(VALUE(_xlfn.TEXTBEFORE(B78," "))),_xlfn.XLOOKUP(VALUE(_xlfn.TEXTBEFORE(B78," ")),Legend!$B$11:$B$26,Legend!$A$11:$A$26,"NOT FOUND",0,1),_xlfn.TEXTBEFORE(B78," ")))</f>
        <v/>
      </c>
      <c r="D78" s="3" t="str">
        <f t="shared" si="1"/>
        <v/>
      </c>
      <c r="E78" s="159" t="str">
        <f>IF(C78="","",_xlfn.XLOOKUP(C78,Legend!$A$10:$A$26,Legend!$C$10:$C$26,"NOT FOUND",0,1))</f>
        <v/>
      </c>
      <c r="F78" s="160" t="str">
        <f>IF(C78="","",_xlfn.XLOOKUP(D78,Legend!$A$29:$A$118,Legend!$B$29:$B$118,"NOT FOUND",0,1))</f>
        <v/>
      </c>
      <c r="G78" s="268" t="str">
        <f>IF(C78="","",_xlfn.XLOOKUP(D78,Legend!$A$29:$A$118,Legend!$C$29:$C$118,"NOT FOUND",0,1))</f>
        <v/>
      </c>
    </row>
    <row r="79" spans="1:7" x14ac:dyDescent="0.2">
      <c r="A79" s="3">
        <v>1</v>
      </c>
      <c r="C79" s="3" t="str">
        <f>IF(B79="","",IF(ISNUMBER(VALUE(_xlfn.TEXTBEFORE(B79," "))),_xlfn.XLOOKUP(VALUE(_xlfn.TEXTBEFORE(B79," ")),Legend!$B$11:$B$26,Legend!$A$11:$A$26,"NOT FOUND",0,1),_xlfn.TEXTBEFORE(B79," ")))</f>
        <v/>
      </c>
      <c r="D79" s="3" t="str">
        <f t="shared" si="1"/>
        <v/>
      </c>
      <c r="E79" s="159" t="str">
        <f>IF(C79="","",_xlfn.XLOOKUP(C79,Legend!$A$10:$A$26,Legend!$C$10:$C$26,"NOT FOUND",0,1))</f>
        <v/>
      </c>
      <c r="F79" s="160" t="str">
        <f>IF(C79="","",_xlfn.XLOOKUP(D79,Legend!$A$29:$A$118,Legend!$B$29:$B$118,"NOT FOUND",0,1))</f>
        <v/>
      </c>
      <c r="G79" s="268" t="str">
        <f>IF(C79="","",_xlfn.XLOOKUP(D79,Legend!$A$29:$A$118,Legend!$C$29:$C$118,"NOT FOUND",0,1))</f>
        <v/>
      </c>
    </row>
    <row r="80" spans="1:7" x14ac:dyDescent="0.2">
      <c r="A80" s="3">
        <v>1</v>
      </c>
      <c r="C80" s="3" t="str">
        <f>IF(B80="","",IF(ISNUMBER(VALUE(_xlfn.TEXTBEFORE(B80," "))),_xlfn.XLOOKUP(VALUE(_xlfn.TEXTBEFORE(B80," ")),Legend!$B$11:$B$26,Legend!$A$11:$A$26,"NOT FOUND",0,1),_xlfn.TEXTBEFORE(B80," ")))</f>
        <v/>
      </c>
      <c r="D80" s="3" t="str">
        <f t="shared" si="1"/>
        <v/>
      </c>
      <c r="E80" s="159" t="str">
        <f>IF(C80="","",_xlfn.XLOOKUP(C80,Legend!$A$10:$A$26,Legend!$C$10:$C$26,"NOT FOUND",0,1))</f>
        <v/>
      </c>
      <c r="F80" s="160" t="str">
        <f>IF(C80="","",_xlfn.XLOOKUP(D80,Legend!$A$29:$A$118,Legend!$B$29:$B$118,"NOT FOUND",0,1))</f>
        <v/>
      </c>
      <c r="G80" s="268" t="str">
        <f>IF(C80="","",_xlfn.XLOOKUP(D80,Legend!$A$29:$A$118,Legend!$C$29:$C$118,"NOT FOUND",0,1))</f>
        <v/>
      </c>
    </row>
    <row r="81" spans="1:7" x14ac:dyDescent="0.2">
      <c r="A81" s="3">
        <v>1</v>
      </c>
      <c r="C81" s="3" t="str">
        <f>IF(B81="","",IF(ISNUMBER(VALUE(_xlfn.TEXTBEFORE(B81," "))),_xlfn.XLOOKUP(VALUE(_xlfn.TEXTBEFORE(B81," ")),Legend!$B$11:$B$26,Legend!$A$11:$A$26,"NOT FOUND",0,1),_xlfn.TEXTBEFORE(B81," ")))</f>
        <v/>
      </c>
      <c r="D81" s="3" t="str">
        <f t="shared" si="1"/>
        <v/>
      </c>
      <c r="E81" s="159" t="str">
        <f>IF(C81="","",_xlfn.XLOOKUP(C81,Legend!$A$10:$A$26,Legend!$C$10:$C$26,"NOT FOUND",0,1))</f>
        <v/>
      </c>
      <c r="F81" s="160" t="str">
        <f>IF(C81="","",_xlfn.XLOOKUP(D81,Legend!$A$29:$A$118,Legend!$B$29:$B$118,"NOT FOUND",0,1))</f>
        <v/>
      </c>
      <c r="G81" s="268" t="str">
        <f>IF(C81="","",_xlfn.XLOOKUP(D81,Legend!$A$29:$A$118,Legend!$C$29:$C$118,"NOT FOUND",0,1))</f>
        <v/>
      </c>
    </row>
    <row r="82" spans="1:7" x14ac:dyDescent="0.2">
      <c r="A82" s="3">
        <v>1</v>
      </c>
      <c r="C82" s="3" t="str">
        <f>IF(B82="","",IF(ISNUMBER(VALUE(_xlfn.TEXTBEFORE(B82," "))),_xlfn.XLOOKUP(VALUE(_xlfn.TEXTBEFORE(B82," ")),Legend!$B$11:$B$26,Legend!$A$11:$A$26,"NOT FOUND",0,1),_xlfn.TEXTBEFORE(B82," ")))</f>
        <v/>
      </c>
      <c r="D82" s="3" t="str">
        <f t="shared" si="1"/>
        <v/>
      </c>
      <c r="E82" s="159" t="str">
        <f>IF(C82="","",_xlfn.XLOOKUP(C82,Legend!$A$10:$A$26,Legend!$C$10:$C$26,"NOT FOUND",0,1))</f>
        <v/>
      </c>
      <c r="F82" s="160" t="str">
        <f>IF(C82="","",_xlfn.XLOOKUP(D82,Legend!$A$29:$A$118,Legend!$B$29:$B$118,"NOT FOUND",0,1))</f>
        <v/>
      </c>
      <c r="G82" s="268" t="str">
        <f>IF(C82="","",_xlfn.XLOOKUP(D82,Legend!$A$29:$A$118,Legend!$C$29:$C$118,"NOT FOUND",0,1))</f>
        <v/>
      </c>
    </row>
    <row r="83" spans="1:7" x14ac:dyDescent="0.2">
      <c r="A83" s="3">
        <v>1</v>
      </c>
      <c r="C83" s="3" t="str">
        <f>IF(B83="","",IF(ISNUMBER(VALUE(_xlfn.TEXTBEFORE(B83," "))),_xlfn.XLOOKUP(VALUE(_xlfn.TEXTBEFORE(B83," ")),Legend!$B$11:$B$26,Legend!$A$11:$A$26,"NOT FOUND",0,1),_xlfn.TEXTBEFORE(B83," ")))</f>
        <v/>
      </c>
      <c r="D83" s="3" t="str">
        <f t="shared" si="1"/>
        <v/>
      </c>
      <c r="E83" s="159" t="str">
        <f>IF(C83="","",_xlfn.XLOOKUP(C83,Legend!$A$10:$A$26,Legend!$C$10:$C$26,"NOT FOUND",0,1))</f>
        <v/>
      </c>
      <c r="F83" s="160" t="str">
        <f>IF(C83="","",_xlfn.XLOOKUP(D83,Legend!$A$29:$A$118,Legend!$B$29:$B$118,"NOT FOUND",0,1))</f>
        <v/>
      </c>
      <c r="G83" s="268" t="str">
        <f>IF(C83="","",_xlfn.XLOOKUP(D83,Legend!$A$29:$A$118,Legend!$C$29:$C$118,"NOT FOUND",0,1))</f>
        <v/>
      </c>
    </row>
    <row r="84" spans="1:7" x14ac:dyDescent="0.2">
      <c r="A84" s="3">
        <v>1</v>
      </c>
      <c r="C84" s="3" t="str">
        <f>IF(B84="","",IF(ISNUMBER(VALUE(_xlfn.TEXTBEFORE(B84," "))),_xlfn.XLOOKUP(VALUE(_xlfn.TEXTBEFORE(B84," ")),Legend!$B$11:$B$26,Legend!$A$11:$A$26,"NOT FOUND",0,1),_xlfn.TEXTBEFORE(B84," ")))</f>
        <v/>
      </c>
      <c r="D84" s="3" t="str">
        <f t="shared" si="1"/>
        <v/>
      </c>
      <c r="E84" s="159" t="str">
        <f>IF(C84="","",_xlfn.XLOOKUP(C84,Legend!$A$10:$A$26,Legend!$C$10:$C$26,"NOT FOUND",0,1))</f>
        <v/>
      </c>
      <c r="F84" s="160" t="str">
        <f>IF(C84="","",_xlfn.XLOOKUP(D84,Legend!$A$29:$A$118,Legend!$B$29:$B$118,"NOT FOUND",0,1))</f>
        <v/>
      </c>
      <c r="G84" s="268" t="str">
        <f>IF(C84="","",_xlfn.XLOOKUP(D84,Legend!$A$29:$A$118,Legend!$C$29:$C$118,"NOT FOUND",0,1))</f>
        <v/>
      </c>
    </row>
    <row r="85" spans="1:7" x14ac:dyDescent="0.2">
      <c r="A85" s="3">
        <v>1</v>
      </c>
      <c r="C85" s="3" t="str">
        <f>IF(B85="","",IF(ISNUMBER(VALUE(_xlfn.TEXTBEFORE(B85," "))),_xlfn.XLOOKUP(VALUE(_xlfn.TEXTBEFORE(B85," ")),Legend!$B$11:$B$26,Legend!$A$11:$A$26,"NOT FOUND",0,1),_xlfn.TEXTBEFORE(B85," ")))</f>
        <v/>
      </c>
      <c r="D85" s="3" t="str">
        <f t="shared" si="1"/>
        <v/>
      </c>
      <c r="E85" s="159" t="str">
        <f>IF(C85="","",_xlfn.XLOOKUP(C85,Legend!$A$10:$A$26,Legend!$C$10:$C$26,"NOT FOUND",0,1))</f>
        <v/>
      </c>
      <c r="F85" s="160" t="str">
        <f>IF(C85="","",_xlfn.XLOOKUP(D85,Legend!$A$29:$A$118,Legend!$B$29:$B$118,"NOT FOUND",0,1))</f>
        <v/>
      </c>
      <c r="G85" s="268" t="str">
        <f>IF(C85="","",_xlfn.XLOOKUP(D85,Legend!$A$29:$A$118,Legend!$C$29:$C$118,"NOT FOUND",0,1))</f>
        <v/>
      </c>
    </row>
    <row r="86" spans="1:7" x14ac:dyDescent="0.2">
      <c r="A86" s="3">
        <v>1</v>
      </c>
      <c r="C86" s="3" t="str">
        <f>IF(B86="","",IF(ISNUMBER(VALUE(_xlfn.TEXTBEFORE(B86," "))),_xlfn.XLOOKUP(VALUE(_xlfn.TEXTBEFORE(B86," ")),Legend!$B$11:$B$26,Legend!$A$11:$A$26,"NOT FOUND",0,1),_xlfn.TEXTBEFORE(B86," ")))</f>
        <v/>
      </c>
      <c r="D86" s="3" t="str">
        <f t="shared" si="1"/>
        <v/>
      </c>
      <c r="E86" s="159" t="str">
        <f>IF(C86="","",_xlfn.XLOOKUP(C86,Legend!$A$10:$A$26,Legend!$C$10:$C$26,"NOT FOUND",0,1))</f>
        <v/>
      </c>
      <c r="F86" s="160" t="str">
        <f>IF(C86="","",_xlfn.XLOOKUP(D86,Legend!$A$29:$A$118,Legend!$B$29:$B$118,"NOT FOUND",0,1))</f>
        <v/>
      </c>
      <c r="G86" s="268" t="str">
        <f>IF(C86="","",_xlfn.XLOOKUP(D86,Legend!$A$29:$A$118,Legend!$C$29:$C$118,"NOT FOUND",0,1))</f>
        <v/>
      </c>
    </row>
    <row r="87" spans="1:7" x14ac:dyDescent="0.2">
      <c r="A87" s="3">
        <v>1</v>
      </c>
      <c r="C87" s="3" t="str">
        <f>IF(B87="","",IF(ISNUMBER(VALUE(_xlfn.TEXTBEFORE(B87," "))),_xlfn.XLOOKUP(VALUE(_xlfn.TEXTBEFORE(B87," ")),Legend!$B$11:$B$26,Legend!$A$11:$A$26,"NOT FOUND",0,1),_xlfn.TEXTBEFORE(B87," ")))</f>
        <v/>
      </c>
      <c r="D87" s="3" t="str">
        <f t="shared" si="1"/>
        <v/>
      </c>
      <c r="E87" s="159" t="str">
        <f>IF(C87="","",_xlfn.XLOOKUP(C87,Legend!$A$10:$A$26,Legend!$C$10:$C$26,"NOT FOUND",0,1))</f>
        <v/>
      </c>
      <c r="F87" s="160" t="str">
        <f>IF(C87="","",_xlfn.XLOOKUP(D87,Legend!$A$29:$A$118,Legend!$B$29:$B$118,"NOT FOUND",0,1))</f>
        <v/>
      </c>
      <c r="G87" s="268" t="str">
        <f>IF(C87="","",_xlfn.XLOOKUP(D87,Legend!$A$29:$A$118,Legend!$C$29:$C$118,"NOT FOUND",0,1))</f>
        <v/>
      </c>
    </row>
    <row r="88" spans="1:7" x14ac:dyDescent="0.2">
      <c r="A88" s="3">
        <v>1</v>
      </c>
      <c r="C88" s="3" t="str">
        <f>IF(B88="","",IF(ISNUMBER(VALUE(_xlfn.TEXTBEFORE(B88," "))),_xlfn.XLOOKUP(VALUE(_xlfn.TEXTBEFORE(B88," ")),Legend!$B$11:$B$26,Legend!$A$11:$A$26,"NOT FOUND",0,1),_xlfn.TEXTBEFORE(B88," ")))</f>
        <v/>
      </c>
      <c r="D88" s="3" t="str">
        <f t="shared" si="1"/>
        <v/>
      </c>
      <c r="E88" s="159" t="str">
        <f>IF(C88="","",_xlfn.XLOOKUP(C88,Legend!$A$10:$A$26,Legend!$C$10:$C$26,"NOT FOUND",0,1))</f>
        <v/>
      </c>
      <c r="F88" s="160" t="str">
        <f>IF(C88="","",_xlfn.XLOOKUP(D88,Legend!$A$29:$A$118,Legend!$B$29:$B$118,"NOT FOUND",0,1))</f>
        <v/>
      </c>
      <c r="G88" s="268" t="str">
        <f>IF(C88="","",_xlfn.XLOOKUP(D88,Legend!$A$29:$A$118,Legend!$C$29:$C$118,"NOT FOUND",0,1))</f>
        <v/>
      </c>
    </row>
    <row r="89" spans="1:7" x14ac:dyDescent="0.2">
      <c r="A89" s="3">
        <v>1</v>
      </c>
      <c r="C89" s="3" t="str">
        <f>IF(B89="","",IF(ISNUMBER(VALUE(_xlfn.TEXTBEFORE(B89," "))),_xlfn.XLOOKUP(VALUE(_xlfn.TEXTBEFORE(B89," ")),Legend!$B$11:$B$26,Legend!$A$11:$A$26,"NOT FOUND",0,1),_xlfn.TEXTBEFORE(B89," ")))</f>
        <v/>
      </c>
      <c r="D89" s="3" t="str">
        <f t="shared" si="1"/>
        <v/>
      </c>
      <c r="E89" s="159" t="str">
        <f>IF(C89="","",_xlfn.XLOOKUP(C89,Legend!$A$10:$A$26,Legend!$C$10:$C$26,"NOT FOUND",0,1))</f>
        <v/>
      </c>
      <c r="F89" s="160" t="str">
        <f>IF(C89="","",_xlfn.XLOOKUP(D89,Legend!$A$29:$A$118,Legend!$B$29:$B$118,"NOT FOUND",0,1))</f>
        <v/>
      </c>
      <c r="G89" s="268" t="str">
        <f>IF(C89="","",_xlfn.XLOOKUP(D89,Legend!$A$29:$A$118,Legend!$C$29:$C$118,"NOT FOUND",0,1))</f>
        <v/>
      </c>
    </row>
    <row r="90" spans="1:7" x14ac:dyDescent="0.2">
      <c r="A90" s="3">
        <v>1</v>
      </c>
      <c r="C90" s="3" t="str">
        <f>IF(B90="","",IF(ISNUMBER(VALUE(_xlfn.TEXTBEFORE(B90," "))),_xlfn.XLOOKUP(VALUE(_xlfn.TEXTBEFORE(B90," ")),Legend!$B$11:$B$26,Legend!$A$11:$A$26,"NOT FOUND",0,1),_xlfn.TEXTBEFORE(B90," ")))</f>
        <v/>
      </c>
      <c r="D90" s="3" t="str">
        <f t="shared" si="1"/>
        <v/>
      </c>
      <c r="E90" s="159" t="str">
        <f>IF(C90="","",_xlfn.XLOOKUP(C90,Legend!$A$10:$A$26,Legend!$C$10:$C$26,"NOT FOUND",0,1))</f>
        <v/>
      </c>
      <c r="F90" s="160" t="str">
        <f>IF(C90="","",_xlfn.XLOOKUP(D90,Legend!$A$29:$A$118,Legend!$B$29:$B$118,"NOT FOUND",0,1))</f>
        <v/>
      </c>
      <c r="G90" s="268" t="str">
        <f>IF(C90="","",_xlfn.XLOOKUP(D90,Legend!$A$29:$A$118,Legend!$C$29:$C$118,"NOT FOUND",0,1))</f>
        <v/>
      </c>
    </row>
    <row r="91" spans="1:7" x14ac:dyDescent="0.2">
      <c r="A91" s="3">
        <v>1</v>
      </c>
      <c r="C91" s="3" t="str">
        <f>IF(B91="","",IF(ISNUMBER(VALUE(_xlfn.TEXTBEFORE(B91," "))),_xlfn.XLOOKUP(VALUE(_xlfn.TEXTBEFORE(B91," ")),Legend!$B$11:$B$26,Legend!$A$11:$A$26,"NOT FOUND",0,1),_xlfn.TEXTBEFORE(B91," ")))</f>
        <v/>
      </c>
      <c r="D91" s="3" t="str">
        <f t="shared" si="1"/>
        <v/>
      </c>
      <c r="E91" s="159" t="str">
        <f>IF(C91="","",_xlfn.XLOOKUP(C91,Legend!$A$10:$A$26,Legend!$C$10:$C$26,"NOT FOUND",0,1))</f>
        <v/>
      </c>
      <c r="F91" s="160" t="str">
        <f>IF(C91="","",_xlfn.XLOOKUP(D91,Legend!$A$29:$A$118,Legend!$B$29:$B$118,"NOT FOUND",0,1))</f>
        <v/>
      </c>
      <c r="G91" s="268" t="str">
        <f>IF(C91="","",_xlfn.XLOOKUP(D91,Legend!$A$29:$A$118,Legend!$C$29:$C$118,"NOT FOUND",0,1))</f>
        <v/>
      </c>
    </row>
    <row r="92" spans="1:7" x14ac:dyDescent="0.2">
      <c r="A92" s="3">
        <v>1</v>
      </c>
      <c r="C92" s="3" t="str">
        <f>IF(B92="","",IF(ISNUMBER(VALUE(_xlfn.TEXTBEFORE(B92," "))),_xlfn.XLOOKUP(VALUE(_xlfn.TEXTBEFORE(B92," ")),Legend!$B$11:$B$26,Legend!$A$11:$A$26,"NOT FOUND",0,1),_xlfn.TEXTBEFORE(B92," ")))</f>
        <v/>
      </c>
      <c r="D92" s="3" t="str">
        <f t="shared" si="1"/>
        <v/>
      </c>
      <c r="E92" s="159" t="str">
        <f>IF(C92="","",_xlfn.XLOOKUP(C92,Legend!$A$10:$A$26,Legend!$C$10:$C$26,"NOT FOUND",0,1))</f>
        <v/>
      </c>
      <c r="F92" s="160" t="str">
        <f>IF(C92="","",_xlfn.XLOOKUP(D92,Legend!$A$29:$A$118,Legend!$B$29:$B$118,"NOT FOUND",0,1))</f>
        <v/>
      </c>
      <c r="G92" s="268" t="str">
        <f>IF(C92="","",_xlfn.XLOOKUP(D92,Legend!$A$29:$A$118,Legend!$C$29:$C$118,"NOT FOUND",0,1))</f>
        <v/>
      </c>
    </row>
    <row r="93" spans="1:7" x14ac:dyDescent="0.2">
      <c r="A93" s="3">
        <v>1</v>
      </c>
      <c r="C93" s="3" t="str">
        <f>IF(B93="","",IF(ISNUMBER(VALUE(_xlfn.TEXTBEFORE(B93," "))),_xlfn.XLOOKUP(VALUE(_xlfn.TEXTBEFORE(B93," ")),Legend!$B$11:$B$26,Legend!$A$11:$A$26,"NOT FOUND",0,1),_xlfn.TEXTBEFORE(B93," ")))</f>
        <v/>
      </c>
      <c r="D93" s="3" t="str">
        <f t="shared" si="1"/>
        <v/>
      </c>
      <c r="E93" s="159" t="str">
        <f>IF(C93="","",_xlfn.XLOOKUP(C93,Legend!$A$10:$A$26,Legend!$C$10:$C$26,"NOT FOUND",0,1))</f>
        <v/>
      </c>
      <c r="F93" s="160" t="str">
        <f>IF(C93="","",_xlfn.XLOOKUP(D93,Legend!$A$29:$A$118,Legend!$B$29:$B$118,"NOT FOUND",0,1))</f>
        <v/>
      </c>
      <c r="G93" s="268" t="str">
        <f>IF(C93="","",_xlfn.XLOOKUP(D93,Legend!$A$29:$A$118,Legend!$C$29:$C$118,"NOT FOUND",0,1))</f>
        <v/>
      </c>
    </row>
    <row r="94" spans="1:7" x14ac:dyDescent="0.2">
      <c r="A94" s="3">
        <v>1</v>
      </c>
      <c r="C94" s="3" t="str">
        <f>IF(B94="","",IF(ISNUMBER(VALUE(_xlfn.TEXTBEFORE(B94," "))),_xlfn.XLOOKUP(VALUE(_xlfn.TEXTBEFORE(B94," ")),Legend!$B$11:$B$26,Legend!$A$11:$A$26,"NOT FOUND",0,1),_xlfn.TEXTBEFORE(B94," ")))</f>
        <v/>
      </c>
      <c r="D94" s="3" t="str">
        <f t="shared" si="1"/>
        <v/>
      </c>
      <c r="E94" s="159" t="str">
        <f>IF(C94="","",_xlfn.XLOOKUP(C94,Legend!$A$10:$A$26,Legend!$C$10:$C$26,"NOT FOUND",0,1))</f>
        <v/>
      </c>
      <c r="F94" s="160" t="str">
        <f>IF(C94="","",_xlfn.XLOOKUP(D94,Legend!$A$29:$A$118,Legend!$B$29:$B$118,"NOT FOUND",0,1))</f>
        <v/>
      </c>
      <c r="G94" s="268" t="str">
        <f>IF(C94="","",_xlfn.XLOOKUP(D94,Legend!$A$29:$A$118,Legend!$C$29:$C$118,"NOT FOUND",0,1))</f>
        <v/>
      </c>
    </row>
    <row r="95" spans="1:7" x14ac:dyDescent="0.2">
      <c r="A95" s="3">
        <v>1</v>
      </c>
      <c r="C95" s="3" t="str">
        <f>IF(B95="","",IF(ISNUMBER(VALUE(_xlfn.TEXTBEFORE(B95," "))),_xlfn.XLOOKUP(VALUE(_xlfn.TEXTBEFORE(B95," ")),Legend!$B$11:$B$26,Legend!$A$11:$A$26,"NOT FOUND",0,1),_xlfn.TEXTBEFORE(B95," ")))</f>
        <v/>
      </c>
      <c r="D95" s="3" t="str">
        <f t="shared" si="1"/>
        <v/>
      </c>
      <c r="E95" s="159" t="str">
        <f>IF(C95="","",_xlfn.XLOOKUP(C95,Legend!$A$10:$A$26,Legend!$C$10:$C$26,"NOT FOUND",0,1))</f>
        <v/>
      </c>
      <c r="F95" s="160" t="str">
        <f>IF(C95="","",_xlfn.XLOOKUP(D95,Legend!$A$29:$A$118,Legend!$B$29:$B$118,"NOT FOUND",0,1))</f>
        <v/>
      </c>
      <c r="G95" s="268" t="str">
        <f>IF(C95="","",_xlfn.XLOOKUP(D95,Legend!$A$29:$A$118,Legend!$C$29:$C$118,"NOT FOUND",0,1))</f>
        <v/>
      </c>
    </row>
    <row r="96" spans="1:7" x14ac:dyDescent="0.2">
      <c r="A96" s="3">
        <v>1</v>
      </c>
      <c r="C96" s="3" t="str">
        <f>IF(B96="","",IF(ISNUMBER(VALUE(_xlfn.TEXTBEFORE(B96," "))),_xlfn.XLOOKUP(VALUE(_xlfn.TEXTBEFORE(B96," ")),Legend!$B$11:$B$26,Legend!$A$11:$A$26,"NOT FOUND",0,1),_xlfn.TEXTBEFORE(B96," ")))</f>
        <v/>
      </c>
      <c r="D96" s="3" t="str">
        <f t="shared" si="1"/>
        <v/>
      </c>
      <c r="E96" s="159" t="str">
        <f>IF(C96="","",_xlfn.XLOOKUP(C96,Legend!$A$10:$A$26,Legend!$C$10:$C$26,"NOT FOUND",0,1))</f>
        <v/>
      </c>
      <c r="F96" s="160" t="str">
        <f>IF(C96="","",_xlfn.XLOOKUP(D96,Legend!$A$29:$A$118,Legend!$B$29:$B$118,"NOT FOUND",0,1))</f>
        <v/>
      </c>
      <c r="G96" s="268" t="str">
        <f>IF(C96="","",_xlfn.XLOOKUP(D96,Legend!$A$29:$A$118,Legend!$C$29:$C$118,"NOT FOUND",0,1))</f>
        <v/>
      </c>
    </row>
    <row r="97" spans="1:7" x14ac:dyDescent="0.2">
      <c r="A97" s="3">
        <v>1</v>
      </c>
      <c r="C97" s="3" t="str">
        <f>IF(B97="","",IF(ISNUMBER(VALUE(_xlfn.TEXTBEFORE(B97," "))),_xlfn.XLOOKUP(VALUE(_xlfn.TEXTBEFORE(B97," ")),Legend!$B$11:$B$26,Legend!$A$11:$A$26,"NOT FOUND",0,1),_xlfn.TEXTBEFORE(B97," ")))</f>
        <v/>
      </c>
      <c r="D97" s="3" t="str">
        <f t="shared" si="1"/>
        <v/>
      </c>
      <c r="E97" s="159" t="str">
        <f>IF(C97="","",_xlfn.XLOOKUP(C97,Legend!$A$10:$A$26,Legend!$C$10:$C$26,"NOT FOUND",0,1))</f>
        <v/>
      </c>
      <c r="F97" s="160" t="str">
        <f>IF(C97="","",_xlfn.XLOOKUP(D97,Legend!$A$29:$A$118,Legend!$B$29:$B$118,"NOT FOUND",0,1))</f>
        <v/>
      </c>
      <c r="G97" s="268" t="str">
        <f>IF(C97="","",_xlfn.XLOOKUP(D97,Legend!$A$29:$A$118,Legend!$C$29:$C$118,"NOT FOUND",0,1))</f>
        <v/>
      </c>
    </row>
    <row r="98" spans="1:7" x14ac:dyDescent="0.2">
      <c r="A98" s="3">
        <v>1</v>
      </c>
      <c r="C98" s="3" t="str">
        <f>IF(B98="","",IF(ISNUMBER(VALUE(_xlfn.TEXTBEFORE(B98," "))),_xlfn.XLOOKUP(VALUE(_xlfn.TEXTBEFORE(B98," ")),Legend!$B$11:$B$26,Legend!$A$11:$A$26,"NOT FOUND",0,1),_xlfn.TEXTBEFORE(B98," ")))</f>
        <v/>
      </c>
      <c r="D98" s="3" t="str">
        <f t="shared" si="1"/>
        <v/>
      </c>
      <c r="E98" s="159" t="str">
        <f>IF(C98="","",_xlfn.XLOOKUP(C98,Legend!$A$10:$A$26,Legend!$C$10:$C$26,"NOT FOUND",0,1))</f>
        <v/>
      </c>
      <c r="F98" s="160" t="str">
        <f>IF(C98="","",_xlfn.XLOOKUP(D98,Legend!$A$29:$A$118,Legend!$B$29:$B$118,"NOT FOUND",0,1))</f>
        <v/>
      </c>
      <c r="G98" s="268" t="str">
        <f>IF(C98="","",_xlfn.XLOOKUP(D98,Legend!$A$29:$A$118,Legend!$C$29:$C$118,"NOT FOUND",0,1))</f>
        <v/>
      </c>
    </row>
    <row r="99" spans="1:7" x14ac:dyDescent="0.2">
      <c r="A99" s="3">
        <v>1</v>
      </c>
      <c r="C99" s="3" t="str">
        <f>IF(B99="","",IF(ISNUMBER(VALUE(_xlfn.TEXTBEFORE(B99," "))),_xlfn.XLOOKUP(VALUE(_xlfn.TEXTBEFORE(B99," ")),Legend!$B$11:$B$26,Legend!$A$11:$A$26,"NOT FOUND",0,1),_xlfn.TEXTBEFORE(B99," ")))</f>
        <v/>
      </c>
      <c r="D99" s="3" t="str">
        <f t="shared" si="1"/>
        <v/>
      </c>
      <c r="E99" s="159" t="str">
        <f>IF(C99="","",_xlfn.XLOOKUP(C99,Legend!$A$10:$A$26,Legend!$C$10:$C$26,"NOT FOUND",0,1))</f>
        <v/>
      </c>
      <c r="F99" s="160" t="str">
        <f>IF(C99="","",_xlfn.XLOOKUP(D99,Legend!$A$29:$A$118,Legend!$B$29:$B$118,"NOT FOUND",0,1))</f>
        <v/>
      </c>
      <c r="G99" s="268" t="str">
        <f>IF(C99="","",_xlfn.XLOOKUP(D99,Legend!$A$29:$A$118,Legend!$C$29:$C$118,"NOT FOUND",0,1))</f>
        <v/>
      </c>
    </row>
    <row r="100" spans="1:7" x14ac:dyDescent="0.2">
      <c r="A100" s="3">
        <v>1</v>
      </c>
      <c r="C100" s="3" t="str">
        <f>IF(B100="","",IF(ISNUMBER(VALUE(_xlfn.TEXTBEFORE(B100," "))),_xlfn.XLOOKUP(VALUE(_xlfn.TEXTBEFORE(B100," ")),Legend!$B$11:$B$26,Legend!$A$11:$A$26,"NOT FOUND",0,1),_xlfn.TEXTBEFORE(B100," ")))</f>
        <v/>
      </c>
      <c r="D100" s="3" t="str">
        <f t="shared" si="1"/>
        <v/>
      </c>
      <c r="E100" s="159" t="str">
        <f>IF(C100="","",_xlfn.XLOOKUP(C100,Legend!$A$10:$A$26,Legend!$C$10:$C$26,"NOT FOUND",0,1))</f>
        <v/>
      </c>
      <c r="F100" s="160" t="str">
        <f>IF(C100="","",_xlfn.XLOOKUP(D100,Legend!$A$29:$A$118,Legend!$B$29:$B$118,"NOT FOUND",0,1))</f>
        <v/>
      </c>
      <c r="G100" s="268" t="str">
        <f>IF(C100="","",_xlfn.XLOOKUP(D100,Legend!$A$29:$A$118,Legend!$C$29:$C$118,"NOT FOUND",0,1))</f>
        <v/>
      </c>
    </row>
    <row r="101" spans="1:7" x14ac:dyDescent="0.2">
      <c r="A101" s="3">
        <v>1</v>
      </c>
      <c r="C101" s="3" t="str">
        <f>IF(B101="","",IF(ISNUMBER(VALUE(_xlfn.TEXTBEFORE(B101," "))),_xlfn.XLOOKUP(VALUE(_xlfn.TEXTBEFORE(B101," ")),Legend!$B$11:$B$26,Legend!$A$11:$A$26,"NOT FOUND",0,1),_xlfn.TEXTBEFORE(B101," ")))</f>
        <v/>
      </c>
      <c r="D101" s="3" t="str">
        <f t="shared" si="1"/>
        <v/>
      </c>
      <c r="E101" s="159" t="str">
        <f>IF(C101="","",_xlfn.XLOOKUP(C101,Legend!$A$10:$A$26,Legend!$C$10:$C$26,"NOT FOUND",0,1))</f>
        <v/>
      </c>
      <c r="F101" s="160" t="str">
        <f>IF(C101="","",_xlfn.XLOOKUP(D101,Legend!$A$29:$A$118,Legend!$B$29:$B$118,"NOT FOUND",0,1))</f>
        <v/>
      </c>
      <c r="G101" s="268" t="str">
        <f>IF(C101="","",_xlfn.XLOOKUP(D101,Legend!$A$29:$A$118,Legend!$C$29:$C$118,"NOT FOUND",0,1))</f>
        <v/>
      </c>
    </row>
    <row r="102" spans="1:7" x14ac:dyDescent="0.2">
      <c r="A102" s="3">
        <v>1</v>
      </c>
      <c r="C102" s="3" t="str">
        <f>IF(B102="","",IF(ISNUMBER(VALUE(_xlfn.TEXTBEFORE(B102," "))),_xlfn.XLOOKUP(VALUE(_xlfn.TEXTBEFORE(B102," ")),Legend!$B$11:$B$26,Legend!$A$11:$A$26,"NOT FOUND",0,1),_xlfn.TEXTBEFORE(B102," ")))</f>
        <v/>
      </c>
      <c r="D102" s="3" t="str">
        <f t="shared" si="1"/>
        <v/>
      </c>
      <c r="E102" s="159" t="str">
        <f>IF(C102="","",_xlfn.XLOOKUP(C102,Legend!$A$10:$A$26,Legend!$C$10:$C$26,"NOT FOUND",0,1))</f>
        <v/>
      </c>
      <c r="F102" s="160" t="str">
        <f>IF(C102="","",_xlfn.XLOOKUP(D102,Legend!$A$29:$A$118,Legend!$B$29:$B$118,"NOT FOUND",0,1))</f>
        <v/>
      </c>
      <c r="G102" s="268" t="str">
        <f>IF(C102="","",_xlfn.XLOOKUP(D102,Legend!$A$29:$A$118,Legend!$C$29:$C$118,"NOT FOUND",0,1))</f>
        <v/>
      </c>
    </row>
    <row r="103" spans="1:7" x14ac:dyDescent="0.2">
      <c r="A103" s="3">
        <v>1</v>
      </c>
      <c r="C103" s="3" t="str">
        <f>IF(B103="","",IF(ISNUMBER(VALUE(_xlfn.TEXTBEFORE(B103," "))),_xlfn.XLOOKUP(VALUE(_xlfn.TEXTBEFORE(B103," ")),Legend!$B$11:$B$26,Legend!$A$11:$A$26,"NOT FOUND",0,1),_xlfn.TEXTBEFORE(B103," ")))</f>
        <v/>
      </c>
      <c r="D103" s="3" t="str">
        <f t="shared" si="1"/>
        <v/>
      </c>
      <c r="E103" s="159" t="str">
        <f>IF(C103="","",_xlfn.XLOOKUP(C103,Legend!$A$10:$A$26,Legend!$C$10:$C$26,"NOT FOUND",0,1))</f>
        <v/>
      </c>
      <c r="F103" s="160" t="str">
        <f>IF(C103="","",_xlfn.XLOOKUP(D103,Legend!$A$29:$A$118,Legend!$B$29:$B$118,"NOT FOUND",0,1))</f>
        <v/>
      </c>
      <c r="G103" s="268" t="str">
        <f>IF(C103="","",_xlfn.XLOOKUP(D103,Legend!$A$29:$A$118,Legend!$C$29:$C$118,"NOT FOUND",0,1))</f>
        <v/>
      </c>
    </row>
    <row r="104" spans="1:7" x14ac:dyDescent="0.2">
      <c r="A104" s="3">
        <v>1</v>
      </c>
      <c r="C104" s="3" t="str">
        <f>IF(B104="","",IF(ISNUMBER(VALUE(_xlfn.TEXTBEFORE(B104," "))),_xlfn.XLOOKUP(VALUE(_xlfn.TEXTBEFORE(B104," ")),Legend!$B$11:$B$26,Legend!$A$11:$A$26,"NOT FOUND",0,1),_xlfn.TEXTBEFORE(B104," ")))</f>
        <v/>
      </c>
      <c r="D104" s="3" t="str">
        <f t="shared" si="1"/>
        <v/>
      </c>
      <c r="E104" s="159" t="str">
        <f>IF(C104="","",_xlfn.XLOOKUP(C104,Legend!$A$10:$A$26,Legend!$C$10:$C$26,"NOT FOUND",0,1))</f>
        <v/>
      </c>
      <c r="F104" s="160" t="str">
        <f>IF(C104="","",_xlfn.XLOOKUP(D104,Legend!$A$29:$A$118,Legend!$B$29:$B$118,"NOT FOUND",0,1))</f>
        <v/>
      </c>
      <c r="G104" s="268" t="str">
        <f>IF(C104="","",_xlfn.XLOOKUP(D104,Legend!$A$29:$A$118,Legend!$C$29:$C$118,"NOT FOUND",0,1))</f>
        <v/>
      </c>
    </row>
    <row r="105" spans="1:7" x14ac:dyDescent="0.2">
      <c r="A105" s="3">
        <v>1</v>
      </c>
      <c r="C105" s="3" t="str">
        <f>IF(B105="","",IF(ISNUMBER(VALUE(_xlfn.TEXTBEFORE(B105," "))),_xlfn.XLOOKUP(VALUE(_xlfn.TEXTBEFORE(B105," ")),Legend!$B$11:$B$26,Legend!$A$11:$A$26,"NOT FOUND",0,1),_xlfn.TEXTBEFORE(B105," ")))</f>
        <v/>
      </c>
      <c r="D105" s="3" t="str">
        <f t="shared" si="1"/>
        <v/>
      </c>
      <c r="E105" s="159" t="str">
        <f>IF(C105="","",_xlfn.XLOOKUP(C105,Legend!$A$10:$A$26,Legend!$C$10:$C$26,"NOT FOUND",0,1))</f>
        <v/>
      </c>
      <c r="F105" s="160" t="str">
        <f>IF(C105="","",_xlfn.XLOOKUP(D105,Legend!$A$29:$A$118,Legend!$B$29:$B$118,"NOT FOUND",0,1))</f>
        <v/>
      </c>
      <c r="G105" s="268" t="str">
        <f>IF(C105="","",_xlfn.XLOOKUP(D105,Legend!$A$29:$A$118,Legend!$C$29:$C$118,"NOT FOUND",0,1))</f>
        <v/>
      </c>
    </row>
    <row r="106" spans="1:7" x14ac:dyDescent="0.2">
      <c r="A106" s="3">
        <v>1</v>
      </c>
      <c r="C106" s="3" t="str">
        <f>IF(B106="","",IF(ISNUMBER(VALUE(_xlfn.TEXTBEFORE(B106," "))),_xlfn.XLOOKUP(VALUE(_xlfn.TEXTBEFORE(B106," ")),Legend!$B$11:$B$26,Legend!$A$11:$A$26,"NOT FOUND",0,1),_xlfn.TEXTBEFORE(B106," ")))</f>
        <v/>
      </c>
      <c r="D106" s="3" t="str">
        <f t="shared" si="1"/>
        <v/>
      </c>
      <c r="E106" s="159" t="str">
        <f>IF(C106="","",_xlfn.XLOOKUP(C106,Legend!$A$10:$A$26,Legend!$C$10:$C$26,"NOT FOUND",0,1))</f>
        <v/>
      </c>
      <c r="F106" s="160" t="str">
        <f>IF(C106="","",_xlfn.XLOOKUP(D106,Legend!$A$29:$A$118,Legend!$B$29:$B$118,"NOT FOUND",0,1))</f>
        <v/>
      </c>
      <c r="G106" s="268" t="str">
        <f>IF(C106="","",_xlfn.XLOOKUP(D106,Legend!$A$29:$A$118,Legend!$C$29:$C$118,"NOT FOUND",0,1))</f>
        <v/>
      </c>
    </row>
    <row r="107" spans="1:7" x14ac:dyDescent="0.2">
      <c r="A107" s="3">
        <v>1</v>
      </c>
      <c r="C107" s="3" t="str">
        <f>IF(B107="","",IF(ISNUMBER(VALUE(_xlfn.TEXTBEFORE(B107," "))),_xlfn.XLOOKUP(VALUE(_xlfn.TEXTBEFORE(B107," ")),Legend!$B$11:$B$26,Legend!$A$11:$A$26,"NOT FOUND",0,1),_xlfn.TEXTBEFORE(B107," ")))</f>
        <v/>
      </c>
      <c r="D107" s="3" t="str">
        <f t="shared" si="1"/>
        <v/>
      </c>
      <c r="E107" s="159" t="str">
        <f>IF(C107="","",_xlfn.XLOOKUP(C107,Legend!$A$10:$A$26,Legend!$C$10:$C$26,"NOT FOUND",0,1))</f>
        <v/>
      </c>
      <c r="F107" s="160" t="str">
        <f>IF(C107="","",_xlfn.XLOOKUP(D107,Legend!$A$29:$A$118,Legend!$B$29:$B$118,"NOT FOUND",0,1))</f>
        <v/>
      </c>
      <c r="G107" s="268" t="str">
        <f>IF(C107="","",_xlfn.XLOOKUP(D107,Legend!$A$29:$A$118,Legend!$C$29:$C$118,"NOT FOUND",0,1))</f>
        <v/>
      </c>
    </row>
    <row r="108" spans="1:7" x14ac:dyDescent="0.2">
      <c r="A108" s="3">
        <v>1</v>
      </c>
      <c r="C108" s="3" t="str">
        <f>IF(B108="","",IF(ISNUMBER(VALUE(_xlfn.TEXTBEFORE(B108," "))),_xlfn.XLOOKUP(VALUE(_xlfn.TEXTBEFORE(B108," ")),Legend!$B$11:$B$26,Legend!$A$11:$A$26,"NOT FOUND",0,1),_xlfn.TEXTBEFORE(B108," ")))</f>
        <v/>
      </c>
      <c r="D108" s="3" t="str">
        <f t="shared" si="1"/>
        <v/>
      </c>
      <c r="E108" s="159" t="str">
        <f>IF(C108="","",_xlfn.XLOOKUP(C108,Legend!$A$10:$A$26,Legend!$C$10:$C$26,"NOT FOUND",0,1))</f>
        <v/>
      </c>
      <c r="F108" s="160" t="str">
        <f>IF(C108="","",_xlfn.XLOOKUP(D108,Legend!$A$29:$A$118,Legend!$B$29:$B$118,"NOT FOUND",0,1))</f>
        <v/>
      </c>
      <c r="G108" s="268" t="str">
        <f>IF(C108="","",_xlfn.XLOOKUP(D108,Legend!$A$29:$A$118,Legend!$C$29:$C$118,"NOT FOUND",0,1))</f>
        <v/>
      </c>
    </row>
    <row r="109" spans="1:7" x14ac:dyDescent="0.2">
      <c r="A109" s="3">
        <v>1</v>
      </c>
      <c r="C109" s="3" t="str">
        <f>IF(B109="","",IF(ISNUMBER(VALUE(_xlfn.TEXTBEFORE(B109," "))),_xlfn.XLOOKUP(VALUE(_xlfn.TEXTBEFORE(B109," ")),Legend!$B$11:$B$26,Legend!$A$11:$A$26,"NOT FOUND",0,1),_xlfn.TEXTBEFORE(B109," ")))</f>
        <v/>
      </c>
      <c r="D109" s="3" t="str">
        <f t="shared" si="1"/>
        <v/>
      </c>
      <c r="E109" s="159" t="str">
        <f>IF(C109="","",_xlfn.XLOOKUP(C109,Legend!$A$10:$A$26,Legend!$C$10:$C$26,"NOT FOUND",0,1))</f>
        <v/>
      </c>
      <c r="F109" s="160" t="str">
        <f>IF(C109="","",_xlfn.XLOOKUP(D109,Legend!$A$29:$A$118,Legend!$B$29:$B$118,"NOT FOUND",0,1))</f>
        <v/>
      </c>
      <c r="G109" s="268" t="str">
        <f>IF(C109="","",_xlfn.XLOOKUP(D109,Legend!$A$29:$A$118,Legend!$C$29:$C$118,"NOT FOUND",0,1))</f>
        <v/>
      </c>
    </row>
    <row r="110" spans="1:7" x14ac:dyDescent="0.2">
      <c r="A110" s="3">
        <v>1</v>
      </c>
      <c r="C110" s="3" t="str">
        <f>IF(B110="","",IF(ISNUMBER(VALUE(_xlfn.TEXTBEFORE(B110," "))),_xlfn.XLOOKUP(VALUE(_xlfn.TEXTBEFORE(B110," ")),Legend!$B$11:$B$26,Legend!$A$11:$A$26,"NOT FOUND",0,1),_xlfn.TEXTBEFORE(B110," ")))</f>
        <v/>
      </c>
      <c r="D110" s="3" t="str">
        <f t="shared" si="1"/>
        <v/>
      </c>
      <c r="E110" s="159" t="str">
        <f>IF(C110="","",_xlfn.XLOOKUP(C110,Legend!$A$10:$A$26,Legend!$C$10:$C$26,"NOT FOUND",0,1))</f>
        <v/>
      </c>
      <c r="F110" s="160" t="str">
        <f>IF(C110="","",_xlfn.XLOOKUP(D110,Legend!$A$29:$A$118,Legend!$B$29:$B$118,"NOT FOUND",0,1))</f>
        <v/>
      </c>
      <c r="G110" s="268" t="str">
        <f>IF(C110="","",_xlfn.XLOOKUP(D110,Legend!$A$29:$A$118,Legend!$C$29:$C$118,"NOT FOUND",0,1))</f>
        <v/>
      </c>
    </row>
    <row r="111" spans="1:7" x14ac:dyDescent="0.2">
      <c r="A111" s="3">
        <v>1</v>
      </c>
      <c r="C111" s="3" t="str">
        <f>IF(B111="","",IF(ISNUMBER(VALUE(_xlfn.TEXTBEFORE(B111," "))),_xlfn.XLOOKUP(VALUE(_xlfn.TEXTBEFORE(B111," ")),Legend!$B$11:$B$26,Legend!$A$11:$A$26,"NOT FOUND",0,1),_xlfn.TEXTBEFORE(B111," ")))</f>
        <v/>
      </c>
      <c r="D111" s="3" t="str">
        <f t="shared" si="1"/>
        <v/>
      </c>
      <c r="E111" s="159" t="str">
        <f>IF(C111="","",_xlfn.XLOOKUP(C111,Legend!$A$10:$A$26,Legend!$C$10:$C$26,"NOT FOUND",0,1))</f>
        <v/>
      </c>
      <c r="F111" s="160" t="str">
        <f>IF(C111="","",_xlfn.XLOOKUP(D111,Legend!$A$29:$A$118,Legend!$B$29:$B$118,"NOT FOUND",0,1))</f>
        <v/>
      </c>
      <c r="G111" s="268" t="str">
        <f>IF(C111="","",_xlfn.XLOOKUP(D111,Legend!$A$29:$A$118,Legend!$C$29:$C$118,"NOT FOUND",0,1))</f>
        <v/>
      </c>
    </row>
    <row r="112" spans="1:7" x14ac:dyDescent="0.2">
      <c r="A112" s="3">
        <v>1</v>
      </c>
      <c r="C112" s="3" t="str">
        <f>IF(B112="","",IF(ISNUMBER(VALUE(_xlfn.TEXTBEFORE(B112," "))),_xlfn.XLOOKUP(VALUE(_xlfn.TEXTBEFORE(B112," ")),Legend!$B$11:$B$26,Legend!$A$11:$A$26,"NOT FOUND",0,1),_xlfn.TEXTBEFORE(B112," ")))</f>
        <v/>
      </c>
      <c r="D112" s="3" t="str">
        <f t="shared" si="1"/>
        <v/>
      </c>
      <c r="E112" s="159" t="str">
        <f>IF(C112="","",_xlfn.XLOOKUP(C112,Legend!$A$10:$A$26,Legend!$C$10:$C$26,"NOT FOUND",0,1))</f>
        <v/>
      </c>
      <c r="F112" s="160" t="str">
        <f>IF(C112="","",_xlfn.XLOOKUP(D112,Legend!$A$29:$A$118,Legend!$B$29:$B$118,"NOT FOUND",0,1))</f>
        <v/>
      </c>
      <c r="G112" s="268" t="str">
        <f>IF(C112="","",_xlfn.XLOOKUP(D112,Legend!$A$29:$A$118,Legend!$C$29:$C$118,"NOT FOUND",0,1))</f>
        <v/>
      </c>
    </row>
    <row r="113" spans="1:7" x14ac:dyDescent="0.2">
      <c r="A113" s="3">
        <v>1</v>
      </c>
      <c r="C113" s="3" t="str">
        <f>IF(B113="","",IF(ISNUMBER(VALUE(_xlfn.TEXTBEFORE(B113," "))),_xlfn.XLOOKUP(VALUE(_xlfn.TEXTBEFORE(B113," ")),Legend!$B$11:$B$26,Legend!$A$11:$A$26,"NOT FOUND",0,1),_xlfn.TEXTBEFORE(B113," ")))</f>
        <v/>
      </c>
      <c r="D113" s="3" t="str">
        <f t="shared" si="1"/>
        <v/>
      </c>
      <c r="E113" s="159" t="str">
        <f>IF(C113="","",_xlfn.XLOOKUP(C113,Legend!$A$10:$A$26,Legend!$C$10:$C$26,"NOT FOUND",0,1))</f>
        <v/>
      </c>
      <c r="F113" s="160" t="str">
        <f>IF(C113="","",_xlfn.XLOOKUP(D113,Legend!$A$29:$A$118,Legend!$B$29:$B$118,"NOT FOUND",0,1))</f>
        <v/>
      </c>
      <c r="G113" s="268" t="str">
        <f>IF(C113="","",_xlfn.XLOOKUP(D113,Legend!$A$29:$A$118,Legend!$C$29:$C$118,"NOT FOUND",0,1))</f>
        <v/>
      </c>
    </row>
    <row r="114" spans="1:7" x14ac:dyDescent="0.2">
      <c r="A114" s="3">
        <v>1</v>
      </c>
      <c r="C114" s="3" t="str">
        <f>IF(B114="","",IF(ISNUMBER(VALUE(_xlfn.TEXTBEFORE(B114," "))),_xlfn.XLOOKUP(VALUE(_xlfn.TEXTBEFORE(B114," ")),Legend!$B$11:$B$26,Legend!$A$11:$A$26,"NOT FOUND",0,1),_xlfn.TEXTBEFORE(B114," ")))</f>
        <v/>
      </c>
      <c r="D114" s="3" t="str">
        <f t="shared" si="1"/>
        <v/>
      </c>
      <c r="E114" s="159" t="str">
        <f>IF(C114="","",_xlfn.XLOOKUP(C114,Legend!$A$10:$A$26,Legend!$C$10:$C$26,"NOT FOUND",0,1))</f>
        <v/>
      </c>
      <c r="F114" s="160" t="str">
        <f>IF(C114="","",_xlfn.XLOOKUP(D114,Legend!$A$29:$A$118,Legend!$B$29:$B$118,"NOT FOUND",0,1))</f>
        <v/>
      </c>
      <c r="G114" s="268" t="str">
        <f>IF(C114="","",_xlfn.XLOOKUP(D114,Legend!$A$29:$A$118,Legend!$C$29:$C$118,"NOT FOUND",0,1))</f>
        <v/>
      </c>
    </row>
    <row r="115" spans="1:7" x14ac:dyDescent="0.2">
      <c r="A115" s="3">
        <v>1</v>
      </c>
      <c r="C115" s="3" t="str">
        <f>IF(B115="","",IF(ISNUMBER(VALUE(_xlfn.TEXTBEFORE(B115," "))),_xlfn.XLOOKUP(VALUE(_xlfn.TEXTBEFORE(B115," ")),Legend!$B$11:$B$26,Legend!$A$11:$A$26,"NOT FOUND",0,1),_xlfn.TEXTBEFORE(B115," ")))</f>
        <v/>
      </c>
      <c r="D115" s="3" t="str">
        <f t="shared" si="1"/>
        <v/>
      </c>
      <c r="E115" s="159" t="str">
        <f>IF(C115="","",_xlfn.XLOOKUP(C115,Legend!$A$10:$A$26,Legend!$C$10:$C$26,"NOT FOUND",0,1))</f>
        <v/>
      </c>
      <c r="F115" s="160" t="str">
        <f>IF(C115="","",_xlfn.XLOOKUP(D115,Legend!$A$29:$A$118,Legend!$B$29:$B$118,"NOT FOUND",0,1))</f>
        <v/>
      </c>
      <c r="G115" s="268" t="str">
        <f>IF(C115="","",_xlfn.XLOOKUP(D115,Legend!$A$29:$A$118,Legend!$C$29:$C$118,"NOT FOUND",0,1))</f>
        <v/>
      </c>
    </row>
    <row r="116" spans="1:7" x14ac:dyDescent="0.2">
      <c r="A116" s="3">
        <v>1</v>
      </c>
      <c r="C116" s="3" t="str">
        <f>IF(B116="","",IF(ISNUMBER(VALUE(_xlfn.TEXTBEFORE(B116," "))),_xlfn.XLOOKUP(VALUE(_xlfn.TEXTBEFORE(B116," ")),Legend!$B$11:$B$26,Legend!$A$11:$A$26,"NOT FOUND",0,1),_xlfn.TEXTBEFORE(B116," ")))</f>
        <v/>
      </c>
      <c r="D116" s="3" t="str">
        <f t="shared" si="1"/>
        <v/>
      </c>
      <c r="E116" s="159" t="str">
        <f>IF(C116="","",_xlfn.XLOOKUP(C116,Legend!$A$10:$A$26,Legend!$C$10:$C$26,"NOT FOUND",0,1))</f>
        <v/>
      </c>
      <c r="F116" s="160" t="str">
        <f>IF(C116="","",_xlfn.XLOOKUP(D116,Legend!$A$29:$A$118,Legend!$B$29:$B$118,"NOT FOUND",0,1))</f>
        <v/>
      </c>
      <c r="G116" s="268" t="str">
        <f>IF(C116="","",_xlfn.XLOOKUP(D116,Legend!$A$29:$A$118,Legend!$C$29:$C$118,"NOT FOUND",0,1))</f>
        <v/>
      </c>
    </row>
    <row r="117" spans="1:7" x14ac:dyDescent="0.2">
      <c r="A117" s="3">
        <v>1</v>
      </c>
      <c r="C117" s="3" t="str">
        <f>IF(B117="","",IF(ISNUMBER(VALUE(_xlfn.TEXTBEFORE(B117," "))),_xlfn.XLOOKUP(VALUE(_xlfn.TEXTBEFORE(B117," ")),Legend!$B$11:$B$26,Legend!$A$11:$A$26,"NOT FOUND",0,1),_xlfn.TEXTBEFORE(B117," ")))</f>
        <v/>
      </c>
      <c r="D117" s="3" t="str">
        <f t="shared" si="1"/>
        <v/>
      </c>
      <c r="E117" s="159" t="str">
        <f>IF(C117="","",_xlfn.XLOOKUP(C117,Legend!$A$10:$A$26,Legend!$C$10:$C$26,"NOT FOUND",0,1))</f>
        <v/>
      </c>
      <c r="F117" s="160" t="str">
        <f>IF(C117="","",_xlfn.XLOOKUP(D117,Legend!$A$29:$A$118,Legend!$B$29:$B$118,"NOT FOUND",0,1))</f>
        <v/>
      </c>
      <c r="G117" s="268" t="str">
        <f>IF(C117="","",_xlfn.XLOOKUP(D117,Legend!$A$29:$A$118,Legend!$C$29:$C$118,"NOT FOUND",0,1))</f>
        <v/>
      </c>
    </row>
    <row r="118" spans="1:7" x14ac:dyDescent="0.2">
      <c r="A118" s="3">
        <v>1</v>
      </c>
      <c r="C118" s="3" t="str">
        <f>IF(B118="","",IF(ISNUMBER(VALUE(_xlfn.TEXTBEFORE(B118," "))),_xlfn.XLOOKUP(VALUE(_xlfn.TEXTBEFORE(B118," ")),Legend!$B$11:$B$26,Legend!$A$11:$A$26,"NOT FOUND",0,1),_xlfn.TEXTBEFORE(B118," ")))</f>
        <v/>
      </c>
      <c r="D118" s="3" t="str">
        <f t="shared" si="1"/>
        <v/>
      </c>
      <c r="E118" s="159" t="str">
        <f>IF(C118="","",_xlfn.XLOOKUP(C118,Legend!$A$10:$A$26,Legend!$C$10:$C$26,"NOT FOUND",0,1))</f>
        <v/>
      </c>
      <c r="F118" s="160" t="str">
        <f>IF(C118="","",_xlfn.XLOOKUP(D118,Legend!$A$29:$A$118,Legend!$B$29:$B$118,"NOT FOUND",0,1))</f>
        <v/>
      </c>
      <c r="G118" s="268" t="str">
        <f>IF(C118="","",_xlfn.XLOOKUP(D118,Legend!$A$29:$A$118,Legend!$C$29:$C$118,"NOT FOUND",0,1))</f>
        <v/>
      </c>
    </row>
    <row r="119" spans="1:7" x14ac:dyDescent="0.2">
      <c r="A119" s="3">
        <v>1</v>
      </c>
      <c r="C119" s="3" t="str">
        <f>IF(B119="","",IF(ISNUMBER(VALUE(_xlfn.TEXTBEFORE(B119," "))),_xlfn.XLOOKUP(VALUE(_xlfn.TEXTBEFORE(B119," ")),Legend!$B$11:$B$26,Legend!$A$11:$A$26,"NOT FOUND",0,1),_xlfn.TEXTBEFORE(B119," ")))</f>
        <v/>
      </c>
      <c r="D119" s="3" t="str">
        <f t="shared" si="1"/>
        <v/>
      </c>
      <c r="E119" s="159" t="str">
        <f>IF(C119="","",_xlfn.XLOOKUP(C119,Legend!$A$10:$A$26,Legend!$C$10:$C$26,"NOT FOUND",0,1))</f>
        <v/>
      </c>
      <c r="F119" s="160" t="str">
        <f>IF(C119="","",_xlfn.XLOOKUP(D119,Legend!$A$29:$A$118,Legend!$B$29:$B$118,"NOT FOUND",0,1))</f>
        <v/>
      </c>
      <c r="G119" s="268" t="str">
        <f>IF(C119="","",_xlfn.XLOOKUP(D119,Legend!$A$29:$A$118,Legend!$C$29:$C$118,"NOT FOUND",0,1))</f>
        <v/>
      </c>
    </row>
    <row r="120" spans="1:7" x14ac:dyDescent="0.2">
      <c r="A120" s="3">
        <v>1</v>
      </c>
      <c r="C120" s="3" t="str">
        <f>IF(B120="","",IF(ISNUMBER(VALUE(_xlfn.TEXTBEFORE(B120," "))),_xlfn.XLOOKUP(VALUE(_xlfn.TEXTBEFORE(B120," ")),Legend!$B$11:$B$26,Legend!$A$11:$A$26,"NOT FOUND",0,1),_xlfn.TEXTBEFORE(B120," ")))</f>
        <v/>
      </c>
      <c r="D120" s="3" t="str">
        <f t="shared" si="1"/>
        <v/>
      </c>
      <c r="E120" s="159" t="str">
        <f>IF(C120="","",_xlfn.XLOOKUP(C120,Legend!$A$10:$A$26,Legend!$C$10:$C$26,"NOT FOUND",0,1))</f>
        <v/>
      </c>
      <c r="F120" s="160" t="str">
        <f>IF(C120="","",_xlfn.XLOOKUP(D120,Legend!$A$29:$A$118,Legend!$B$29:$B$118,"NOT FOUND",0,1))</f>
        <v/>
      </c>
      <c r="G120" s="268" t="str">
        <f>IF(C120="","",_xlfn.XLOOKUP(D120,Legend!$A$29:$A$118,Legend!$C$29:$C$118,"NOT FOUND",0,1))</f>
        <v/>
      </c>
    </row>
    <row r="121" spans="1:7" x14ac:dyDescent="0.2">
      <c r="A121" s="3">
        <v>1</v>
      </c>
      <c r="C121" s="3" t="str">
        <f>IF(B121="","",IF(ISNUMBER(VALUE(_xlfn.TEXTBEFORE(B121," "))),_xlfn.XLOOKUP(VALUE(_xlfn.TEXTBEFORE(B121," ")),Legend!$B$11:$B$26,Legend!$A$11:$A$26,"NOT FOUND",0,1),_xlfn.TEXTBEFORE(B121," ")))</f>
        <v/>
      </c>
      <c r="D121" s="3" t="str">
        <f t="shared" si="1"/>
        <v/>
      </c>
      <c r="E121" s="159" t="str">
        <f>IF(C121="","",_xlfn.XLOOKUP(C121,Legend!$A$10:$A$26,Legend!$C$10:$C$26,"NOT FOUND",0,1))</f>
        <v/>
      </c>
      <c r="F121" s="160" t="str">
        <f>IF(C121="","",_xlfn.XLOOKUP(D121,Legend!$A$29:$A$118,Legend!$B$29:$B$118,"NOT FOUND",0,1))</f>
        <v/>
      </c>
      <c r="G121" s="268" t="str">
        <f>IF(C121="","",_xlfn.XLOOKUP(D121,Legend!$A$29:$A$118,Legend!$C$29:$C$118,"NOT FOUND",0,1))</f>
        <v/>
      </c>
    </row>
    <row r="122" spans="1:7" x14ac:dyDescent="0.2">
      <c r="A122" s="3">
        <v>1</v>
      </c>
      <c r="C122" s="3" t="str">
        <f>IF(B122="","",IF(ISNUMBER(VALUE(_xlfn.TEXTBEFORE(B122," "))),_xlfn.XLOOKUP(VALUE(_xlfn.TEXTBEFORE(B122," ")),Legend!$B$11:$B$26,Legend!$A$11:$A$26,"NOT FOUND",0,1),_xlfn.TEXTBEFORE(B122," ")))</f>
        <v/>
      </c>
      <c r="D122" s="3" t="str">
        <f t="shared" si="1"/>
        <v/>
      </c>
      <c r="E122" s="159" t="str">
        <f>IF(C122="","",_xlfn.XLOOKUP(C122,Legend!$A$10:$A$26,Legend!$C$10:$C$26,"NOT FOUND",0,1))</f>
        <v/>
      </c>
      <c r="F122" s="160" t="str">
        <f>IF(C122="","",_xlfn.XLOOKUP(D122,Legend!$A$29:$A$118,Legend!$B$29:$B$118,"NOT FOUND",0,1))</f>
        <v/>
      </c>
      <c r="G122" s="268" t="str">
        <f>IF(C122="","",_xlfn.XLOOKUP(D122,Legend!$A$29:$A$118,Legend!$C$29:$C$118,"NOT FOUND",0,1))</f>
        <v/>
      </c>
    </row>
    <row r="123" spans="1:7" x14ac:dyDescent="0.2">
      <c r="A123" s="3">
        <v>1</v>
      </c>
      <c r="C123" s="3" t="str">
        <f>IF(B123="","",IF(ISNUMBER(VALUE(_xlfn.TEXTBEFORE(B123," "))),_xlfn.XLOOKUP(VALUE(_xlfn.TEXTBEFORE(B123," ")),Legend!$B$11:$B$26,Legend!$A$11:$A$26,"NOT FOUND",0,1),_xlfn.TEXTBEFORE(B123," ")))</f>
        <v/>
      </c>
      <c r="D123" s="3" t="str">
        <f t="shared" si="1"/>
        <v/>
      </c>
      <c r="E123" s="159" t="str">
        <f>IF(C123="","",_xlfn.XLOOKUP(C123,Legend!$A$10:$A$26,Legend!$C$10:$C$26,"NOT FOUND",0,1))</f>
        <v/>
      </c>
      <c r="F123" s="160" t="str">
        <f>IF(C123="","",_xlfn.XLOOKUP(D123,Legend!$A$29:$A$118,Legend!$B$29:$B$118,"NOT FOUND",0,1))</f>
        <v/>
      </c>
      <c r="G123" s="268" t="str">
        <f>IF(C123="","",_xlfn.XLOOKUP(D123,Legend!$A$29:$A$118,Legend!$C$29:$C$118,"NOT FOUND",0,1))</f>
        <v/>
      </c>
    </row>
    <row r="124" spans="1:7" x14ac:dyDescent="0.2">
      <c r="A124" s="3">
        <v>1</v>
      </c>
      <c r="C124" s="3" t="str">
        <f>IF(B124="","",IF(ISNUMBER(VALUE(_xlfn.TEXTBEFORE(B124," "))),_xlfn.XLOOKUP(VALUE(_xlfn.TEXTBEFORE(B124," ")),Legend!$B$11:$B$26,Legend!$A$11:$A$26,"NOT FOUND",0,1),_xlfn.TEXTBEFORE(B124," ")))</f>
        <v/>
      </c>
      <c r="D124" s="3" t="str">
        <f t="shared" si="1"/>
        <v/>
      </c>
      <c r="E124" s="159" t="str">
        <f>IF(C124="","",_xlfn.XLOOKUP(C124,Legend!$A$10:$A$26,Legend!$C$10:$C$26,"NOT FOUND",0,1))</f>
        <v/>
      </c>
      <c r="F124" s="160" t="str">
        <f>IF(C124="","",_xlfn.XLOOKUP(D124,Legend!$A$29:$A$118,Legend!$B$29:$B$118,"NOT FOUND",0,1))</f>
        <v/>
      </c>
      <c r="G124" s="268" t="str">
        <f>IF(C124="","",_xlfn.XLOOKUP(D124,Legend!$A$29:$A$118,Legend!$C$29:$C$118,"NOT FOUND",0,1))</f>
        <v/>
      </c>
    </row>
    <row r="125" spans="1:7" x14ac:dyDescent="0.2">
      <c r="A125" s="3">
        <v>1</v>
      </c>
      <c r="C125" s="3" t="str">
        <f>IF(B125="","",IF(ISNUMBER(VALUE(_xlfn.TEXTBEFORE(B125," "))),_xlfn.XLOOKUP(VALUE(_xlfn.TEXTBEFORE(B125," ")),Legend!$B$11:$B$26,Legend!$A$11:$A$26,"NOT FOUND",0,1),_xlfn.TEXTBEFORE(B125," ")))</f>
        <v/>
      </c>
      <c r="D125" s="3" t="str">
        <f t="shared" si="1"/>
        <v/>
      </c>
      <c r="E125" s="159" t="str">
        <f>IF(C125="","",_xlfn.XLOOKUP(C125,Legend!$A$10:$A$26,Legend!$C$10:$C$26,"NOT FOUND",0,1))</f>
        <v/>
      </c>
      <c r="F125" s="160" t="str">
        <f>IF(C125="","",_xlfn.XLOOKUP(D125,Legend!$A$29:$A$118,Legend!$B$29:$B$118,"NOT FOUND",0,1))</f>
        <v/>
      </c>
      <c r="G125" s="268" t="str">
        <f>IF(C125="","",_xlfn.XLOOKUP(D125,Legend!$A$29:$A$118,Legend!$C$29:$C$118,"NOT FOUND",0,1))</f>
        <v/>
      </c>
    </row>
    <row r="126" spans="1:7" x14ac:dyDescent="0.2">
      <c r="A126" s="3">
        <v>1</v>
      </c>
      <c r="C126" s="3" t="str">
        <f>IF(B126="","",IF(ISNUMBER(VALUE(_xlfn.TEXTBEFORE(B126," "))),_xlfn.XLOOKUP(VALUE(_xlfn.TEXTBEFORE(B126," ")),Legend!$B$11:$B$26,Legend!$A$11:$A$26,"NOT FOUND",0,1),_xlfn.TEXTBEFORE(B126," ")))</f>
        <v/>
      </c>
      <c r="D126" s="3" t="str">
        <f t="shared" si="1"/>
        <v/>
      </c>
      <c r="E126" s="159" t="str">
        <f>IF(C126="","",_xlfn.XLOOKUP(C126,Legend!$A$10:$A$26,Legend!$C$10:$C$26,"NOT FOUND",0,1))</f>
        <v/>
      </c>
      <c r="F126" s="160" t="str">
        <f>IF(C126="","",_xlfn.XLOOKUP(D126,Legend!$A$29:$A$118,Legend!$B$29:$B$118,"NOT FOUND",0,1))</f>
        <v/>
      </c>
      <c r="G126" s="268" t="str">
        <f>IF(C126="","",_xlfn.XLOOKUP(D126,Legend!$A$29:$A$118,Legend!$C$29:$C$118,"NOT FOUND",0,1))</f>
        <v/>
      </c>
    </row>
    <row r="127" spans="1:7" x14ac:dyDescent="0.2">
      <c r="A127" s="3">
        <v>1</v>
      </c>
      <c r="C127" s="3" t="str">
        <f>IF(B127="","",IF(ISNUMBER(VALUE(_xlfn.TEXTBEFORE(B127," "))),_xlfn.XLOOKUP(VALUE(_xlfn.TEXTBEFORE(B127," ")),Legend!$B$11:$B$26,Legend!$A$11:$A$26,"NOT FOUND",0,1),_xlfn.TEXTBEFORE(B127," ")))</f>
        <v/>
      </c>
      <c r="D127" s="3" t="str">
        <f t="shared" si="1"/>
        <v/>
      </c>
      <c r="E127" s="159" t="str">
        <f>IF(C127="","",_xlfn.XLOOKUP(C127,Legend!$A$10:$A$26,Legend!$C$10:$C$26,"NOT FOUND",0,1))</f>
        <v/>
      </c>
      <c r="F127" s="160" t="str">
        <f>IF(C127="","",_xlfn.XLOOKUP(D127,Legend!$A$29:$A$118,Legend!$B$29:$B$118,"NOT FOUND",0,1))</f>
        <v/>
      </c>
      <c r="G127" s="268" t="str">
        <f>IF(C127="","",_xlfn.XLOOKUP(D127,Legend!$A$29:$A$118,Legend!$C$29:$C$118,"NOT FOUND",0,1))</f>
        <v/>
      </c>
    </row>
    <row r="128" spans="1:7" x14ac:dyDescent="0.2">
      <c r="A128" s="3">
        <v>1</v>
      </c>
      <c r="C128" s="3" t="str">
        <f>IF(B128="","",IF(ISNUMBER(VALUE(_xlfn.TEXTBEFORE(B128," "))),_xlfn.XLOOKUP(VALUE(_xlfn.TEXTBEFORE(B128," ")),Legend!$B$11:$B$26,Legend!$A$11:$A$26,"NOT FOUND",0,1),_xlfn.TEXTBEFORE(B128," ")))</f>
        <v/>
      </c>
      <c r="D128" s="3" t="str">
        <f t="shared" si="1"/>
        <v/>
      </c>
      <c r="E128" s="159" t="str">
        <f>IF(C128="","",_xlfn.XLOOKUP(C128,Legend!$A$10:$A$26,Legend!$C$10:$C$26,"NOT FOUND",0,1))</f>
        <v/>
      </c>
      <c r="F128" s="160" t="str">
        <f>IF(C128="","",_xlfn.XLOOKUP(D128,Legend!$A$29:$A$118,Legend!$B$29:$B$118,"NOT FOUND",0,1))</f>
        <v/>
      </c>
      <c r="G128" s="268" t="str">
        <f>IF(C128="","",_xlfn.XLOOKUP(D128,Legend!$A$29:$A$118,Legend!$C$29:$C$118,"NOT FOUND",0,1))</f>
        <v/>
      </c>
    </row>
    <row r="129" spans="1:7" x14ac:dyDescent="0.2">
      <c r="A129" s="3">
        <v>1</v>
      </c>
      <c r="C129" s="3" t="str">
        <f>IF(B129="","",IF(ISNUMBER(VALUE(_xlfn.TEXTBEFORE(B129," "))),_xlfn.XLOOKUP(VALUE(_xlfn.TEXTBEFORE(B129," ")),Legend!$B$11:$B$26,Legend!$A$11:$A$26,"NOT FOUND",0,1),_xlfn.TEXTBEFORE(B129," ")))</f>
        <v/>
      </c>
      <c r="D129" s="3" t="str">
        <f t="shared" si="1"/>
        <v/>
      </c>
      <c r="E129" s="159" t="str">
        <f>IF(C129="","",_xlfn.XLOOKUP(C129,Legend!$A$10:$A$26,Legend!$C$10:$C$26,"NOT FOUND",0,1))</f>
        <v/>
      </c>
      <c r="F129" s="160" t="str">
        <f>IF(C129="","",_xlfn.XLOOKUP(D129,Legend!$A$29:$A$118,Legend!$B$29:$B$118,"NOT FOUND",0,1))</f>
        <v/>
      </c>
      <c r="G129" s="268" t="str">
        <f>IF(C129="","",_xlfn.XLOOKUP(D129,Legend!$A$29:$A$118,Legend!$C$29:$C$118,"NOT FOUND",0,1))</f>
        <v/>
      </c>
    </row>
    <row r="130" spans="1:7" x14ac:dyDescent="0.2">
      <c r="A130" s="3">
        <v>1</v>
      </c>
      <c r="C130" s="3" t="str">
        <f>IF(B130="","",IF(ISNUMBER(VALUE(_xlfn.TEXTBEFORE(B130," "))),_xlfn.XLOOKUP(VALUE(_xlfn.TEXTBEFORE(B130," ")),Legend!$B$11:$B$26,Legend!$A$11:$A$26,"NOT FOUND",0,1),_xlfn.TEXTBEFORE(B130," ")))</f>
        <v/>
      </c>
      <c r="D130" s="3" t="str">
        <f t="shared" ref="D130:D190" si="2">IF(B130="","",_xlfn.TEXTAFTER(B130," "))</f>
        <v/>
      </c>
      <c r="E130" s="159" t="str">
        <f>IF(C130="","",_xlfn.XLOOKUP(C130,Legend!$A$10:$A$26,Legend!$C$10:$C$26,"NOT FOUND",0,1))</f>
        <v/>
      </c>
      <c r="F130" s="160" t="str">
        <f>IF(C130="","",_xlfn.XLOOKUP(D130,Legend!$A$29:$A$118,Legend!$B$29:$B$118,"NOT FOUND",0,1))</f>
        <v/>
      </c>
      <c r="G130" s="268" t="str">
        <f>IF(C130="","",_xlfn.XLOOKUP(D130,Legend!$A$29:$A$118,Legend!$C$29:$C$118,"NOT FOUND",0,1))</f>
        <v/>
      </c>
    </row>
    <row r="131" spans="1:7" x14ac:dyDescent="0.2">
      <c r="A131" s="3">
        <v>1</v>
      </c>
      <c r="C131" s="3" t="str">
        <f>IF(B131="","",IF(ISNUMBER(VALUE(_xlfn.TEXTBEFORE(B131," "))),_xlfn.XLOOKUP(VALUE(_xlfn.TEXTBEFORE(B131," ")),Legend!$B$11:$B$26,Legend!$A$11:$A$26,"NOT FOUND",0,1),_xlfn.TEXTBEFORE(B131," ")))</f>
        <v/>
      </c>
      <c r="D131" s="3" t="str">
        <f t="shared" si="2"/>
        <v/>
      </c>
      <c r="E131" s="159" t="str">
        <f>IF(C131="","",_xlfn.XLOOKUP(C131,Legend!$A$10:$A$26,Legend!$C$10:$C$26,"NOT FOUND",0,1))</f>
        <v/>
      </c>
      <c r="F131" s="160" t="str">
        <f>IF(C131="","",_xlfn.XLOOKUP(D131,Legend!$A$29:$A$118,Legend!$B$29:$B$118,"NOT FOUND",0,1))</f>
        <v/>
      </c>
      <c r="G131" s="268" t="str">
        <f>IF(C131="","",_xlfn.XLOOKUP(D131,Legend!$A$29:$A$118,Legend!$C$29:$C$118,"NOT FOUND",0,1))</f>
        <v/>
      </c>
    </row>
    <row r="132" spans="1:7" x14ac:dyDescent="0.2">
      <c r="A132" s="3">
        <v>1</v>
      </c>
      <c r="C132" s="3" t="str">
        <f>IF(B132="","",IF(ISNUMBER(VALUE(_xlfn.TEXTBEFORE(B132," "))),_xlfn.XLOOKUP(VALUE(_xlfn.TEXTBEFORE(B132," ")),Legend!$B$11:$B$26,Legend!$A$11:$A$26,"NOT FOUND",0,1),_xlfn.TEXTBEFORE(B132," ")))</f>
        <v/>
      </c>
      <c r="D132" s="3" t="str">
        <f t="shared" si="2"/>
        <v/>
      </c>
      <c r="E132" s="159" t="str">
        <f>IF(C132="","",_xlfn.XLOOKUP(C132,Legend!$A$10:$A$26,Legend!$C$10:$C$26,"NOT FOUND",0,1))</f>
        <v/>
      </c>
      <c r="F132" s="160" t="str">
        <f>IF(C132="","",_xlfn.XLOOKUP(D132,Legend!$A$29:$A$118,Legend!$B$29:$B$118,"NOT FOUND",0,1))</f>
        <v/>
      </c>
      <c r="G132" s="268" t="str">
        <f>IF(C132="","",_xlfn.XLOOKUP(D132,Legend!$A$29:$A$118,Legend!$C$29:$C$118,"NOT FOUND",0,1))</f>
        <v/>
      </c>
    </row>
    <row r="133" spans="1:7" x14ac:dyDescent="0.2">
      <c r="A133" s="3">
        <v>1</v>
      </c>
      <c r="C133" s="3" t="str">
        <f>IF(B133="","",IF(ISNUMBER(VALUE(_xlfn.TEXTBEFORE(B133," "))),_xlfn.XLOOKUP(VALUE(_xlfn.TEXTBEFORE(B133," ")),Legend!$B$11:$B$26,Legend!$A$11:$A$26,"NOT FOUND",0,1),_xlfn.TEXTBEFORE(B133," ")))</f>
        <v/>
      </c>
      <c r="D133" s="3" t="str">
        <f t="shared" si="2"/>
        <v/>
      </c>
      <c r="E133" s="159" t="str">
        <f>IF(C133="","",_xlfn.XLOOKUP(C133,Legend!$A$10:$A$26,Legend!$C$10:$C$26,"NOT FOUND",0,1))</f>
        <v/>
      </c>
      <c r="F133" s="160" t="str">
        <f>IF(C133="","",_xlfn.XLOOKUP(D133,Legend!$A$29:$A$118,Legend!$B$29:$B$118,"NOT FOUND",0,1))</f>
        <v/>
      </c>
      <c r="G133" s="268" t="str">
        <f>IF(C133="","",_xlfn.XLOOKUP(D133,Legend!$A$29:$A$118,Legend!$C$29:$C$118,"NOT FOUND",0,1))</f>
        <v/>
      </c>
    </row>
    <row r="134" spans="1:7" x14ac:dyDescent="0.2">
      <c r="A134" s="3">
        <v>1</v>
      </c>
      <c r="C134" s="3" t="str">
        <f>IF(B134="","",IF(ISNUMBER(VALUE(_xlfn.TEXTBEFORE(B134," "))),_xlfn.XLOOKUP(VALUE(_xlfn.TEXTBEFORE(B134," ")),Legend!$B$11:$B$26,Legend!$A$11:$A$26,"NOT FOUND",0,1),_xlfn.TEXTBEFORE(B134," ")))</f>
        <v/>
      </c>
      <c r="D134" s="3" t="str">
        <f t="shared" si="2"/>
        <v/>
      </c>
      <c r="E134" s="159" t="str">
        <f>IF(C134="","",_xlfn.XLOOKUP(C134,Legend!$A$10:$A$26,Legend!$C$10:$C$26,"NOT FOUND",0,1))</f>
        <v/>
      </c>
      <c r="F134" s="160" t="str">
        <f>IF(C134="","",_xlfn.XLOOKUP(D134,Legend!$A$29:$A$118,Legend!$B$29:$B$118,"NOT FOUND",0,1))</f>
        <v/>
      </c>
      <c r="G134" s="268" t="str">
        <f>IF(C134="","",_xlfn.XLOOKUP(D134,Legend!$A$29:$A$118,Legend!$C$29:$C$118,"NOT FOUND",0,1))</f>
        <v/>
      </c>
    </row>
    <row r="135" spans="1:7" x14ac:dyDescent="0.2">
      <c r="A135" s="3">
        <v>1</v>
      </c>
      <c r="C135" s="3" t="str">
        <f>IF(B135="","",IF(ISNUMBER(VALUE(_xlfn.TEXTBEFORE(B135," "))),_xlfn.XLOOKUP(VALUE(_xlfn.TEXTBEFORE(B135," ")),Legend!$B$11:$B$26,Legend!$A$11:$A$26,"NOT FOUND",0,1),_xlfn.TEXTBEFORE(B135," ")))</f>
        <v/>
      </c>
      <c r="D135" s="3" t="str">
        <f t="shared" si="2"/>
        <v/>
      </c>
      <c r="E135" s="159" t="str">
        <f>IF(C135="","",_xlfn.XLOOKUP(C135,Legend!$A$10:$A$26,Legend!$C$10:$C$26,"NOT FOUND",0,1))</f>
        <v/>
      </c>
      <c r="F135" s="160" t="str">
        <f>IF(C135="","",_xlfn.XLOOKUP(D135,Legend!$A$29:$A$118,Legend!$B$29:$B$118,"NOT FOUND",0,1))</f>
        <v/>
      </c>
      <c r="G135" s="268" t="str">
        <f>IF(C135="","",_xlfn.XLOOKUP(D135,Legend!$A$29:$A$118,Legend!$C$29:$C$118,"NOT FOUND",0,1))</f>
        <v/>
      </c>
    </row>
    <row r="136" spans="1:7" x14ac:dyDescent="0.2">
      <c r="A136" s="3">
        <v>1</v>
      </c>
      <c r="C136" s="3" t="str">
        <f>IF(B136="","",IF(ISNUMBER(VALUE(_xlfn.TEXTBEFORE(B136," "))),_xlfn.XLOOKUP(VALUE(_xlfn.TEXTBEFORE(B136," ")),Legend!$B$11:$B$26,Legend!$A$11:$A$26,"NOT FOUND",0,1),_xlfn.TEXTBEFORE(B136," ")))</f>
        <v/>
      </c>
      <c r="D136" s="3" t="str">
        <f t="shared" si="2"/>
        <v/>
      </c>
      <c r="E136" s="159" t="str">
        <f>IF(C136="","",_xlfn.XLOOKUP(C136,Legend!$A$10:$A$26,Legend!$C$10:$C$26,"NOT FOUND",0,1))</f>
        <v/>
      </c>
      <c r="F136" s="160" t="str">
        <f>IF(C136="","",_xlfn.XLOOKUP(D136,Legend!$A$29:$A$118,Legend!$B$29:$B$118,"NOT FOUND",0,1))</f>
        <v/>
      </c>
      <c r="G136" s="268" t="str">
        <f>IF(C136="","",_xlfn.XLOOKUP(D136,Legend!$A$29:$A$118,Legend!$C$29:$C$118,"NOT FOUND",0,1))</f>
        <v/>
      </c>
    </row>
    <row r="137" spans="1:7" x14ac:dyDescent="0.2">
      <c r="A137" s="3">
        <v>1</v>
      </c>
      <c r="C137" s="3" t="str">
        <f>IF(B137="","",IF(ISNUMBER(VALUE(_xlfn.TEXTBEFORE(B137," "))),_xlfn.XLOOKUP(VALUE(_xlfn.TEXTBEFORE(B137," ")),Legend!$B$11:$B$26,Legend!$A$11:$A$26,"NOT FOUND",0,1),_xlfn.TEXTBEFORE(B137," ")))</f>
        <v/>
      </c>
      <c r="D137" s="3" t="str">
        <f t="shared" si="2"/>
        <v/>
      </c>
      <c r="E137" s="159" t="str">
        <f>IF(C137="","",_xlfn.XLOOKUP(C137,Legend!$A$10:$A$26,Legend!$C$10:$C$26,"NOT FOUND",0,1))</f>
        <v/>
      </c>
      <c r="F137" s="160" t="str">
        <f>IF(C137="","",_xlfn.XLOOKUP(D137,Legend!$A$29:$A$118,Legend!$B$29:$B$118,"NOT FOUND",0,1))</f>
        <v/>
      </c>
      <c r="G137" s="268" t="str">
        <f>IF(C137="","",_xlfn.XLOOKUP(D137,Legend!$A$29:$A$118,Legend!$C$29:$C$118,"NOT FOUND",0,1))</f>
        <v/>
      </c>
    </row>
    <row r="138" spans="1:7" x14ac:dyDescent="0.2">
      <c r="A138" s="3">
        <v>1</v>
      </c>
      <c r="C138" s="3" t="str">
        <f>IF(B138="","",IF(ISNUMBER(VALUE(_xlfn.TEXTBEFORE(B138," "))),_xlfn.XLOOKUP(VALUE(_xlfn.TEXTBEFORE(B138," ")),Legend!$B$11:$B$26,Legend!$A$11:$A$26,"NOT FOUND",0,1),_xlfn.TEXTBEFORE(B138," ")))</f>
        <v/>
      </c>
      <c r="D138" s="3" t="str">
        <f t="shared" si="2"/>
        <v/>
      </c>
      <c r="E138" s="159" t="str">
        <f>IF(C138="","",_xlfn.XLOOKUP(C138,Legend!$A$10:$A$26,Legend!$C$10:$C$26,"NOT FOUND",0,1))</f>
        <v/>
      </c>
      <c r="F138" s="160" t="str">
        <f>IF(C138="","",_xlfn.XLOOKUP(D138,Legend!$A$29:$A$118,Legend!$B$29:$B$118,"NOT FOUND",0,1))</f>
        <v/>
      </c>
      <c r="G138" s="268" t="str">
        <f>IF(C138="","",_xlfn.XLOOKUP(D138,Legend!$A$29:$A$118,Legend!$C$29:$C$118,"NOT FOUND",0,1))</f>
        <v/>
      </c>
    </row>
    <row r="139" spans="1:7" x14ac:dyDescent="0.2">
      <c r="A139" s="3">
        <v>1</v>
      </c>
      <c r="C139" s="3" t="str">
        <f>IF(B139="","",IF(ISNUMBER(VALUE(_xlfn.TEXTBEFORE(B139," "))),_xlfn.XLOOKUP(VALUE(_xlfn.TEXTBEFORE(B139," ")),Legend!$B$11:$B$26,Legend!$A$11:$A$26,"NOT FOUND",0,1),_xlfn.TEXTBEFORE(B139," ")))</f>
        <v/>
      </c>
      <c r="D139" s="3" t="str">
        <f t="shared" si="2"/>
        <v/>
      </c>
      <c r="E139" s="159" t="str">
        <f>IF(C139="","",_xlfn.XLOOKUP(C139,Legend!$A$10:$A$26,Legend!$C$10:$C$26,"NOT FOUND",0,1))</f>
        <v/>
      </c>
      <c r="F139" s="160" t="str">
        <f>IF(C139="","",_xlfn.XLOOKUP(D139,Legend!$A$29:$A$118,Legend!$B$29:$B$118,"NOT FOUND",0,1))</f>
        <v/>
      </c>
      <c r="G139" s="268" t="str">
        <f>IF(C139="","",_xlfn.XLOOKUP(D139,Legend!$A$29:$A$118,Legend!$C$29:$C$118,"NOT FOUND",0,1))</f>
        <v/>
      </c>
    </row>
    <row r="140" spans="1:7" x14ac:dyDescent="0.2">
      <c r="A140" s="3">
        <v>1</v>
      </c>
      <c r="C140" s="3" t="str">
        <f>IF(B140="","",IF(ISNUMBER(VALUE(_xlfn.TEXTBEFORE(B140," "))),_xlfn.XLOOKUP(VALUE(_xlfn.TEXTBEFORE(B140," ")),Legend!$B$11:$B$26,Legend!$A$11:$A$26,"NOT FOUND",0,1),_xlfn.TEXTBEFORE(B140," ")))</f>
        <v/>
      </c>
      <c r="D140" s="3" t="str">
        <f t="shared" si="2"/>
        <v/>
      </c>
      <c r="E140" s="159" t="str">
        <f>IF(C140="","",_xlfn.XLOOKUP(C140,Legend!$A$10:$A$26,Legend!$C$10:$C$26,"NOT FOUND",0,1))</f>
        <v/>
      </c>
      <c r="F140" s="160" t="str">
        <f>IF(C140="","",_xlfn.XLOOKUP(D140,Legend!$A$29:$A$118,Legend!$B$29:$B$118,"NOT FOUND",0,1))</f>
        <v/>
      </c>
      <c r="G140" s="268" t="str">
        <f>IF(C140="","",_xlfn.XLOOKUP(D140,Legend!$A$29:$A$118,Legend!$C$29:$C$118,"NOT FOUND",0,1))</f>
        <v/>
      </c>
    </row>
    <row r="141" spans="1:7" x14ac:dyDescent="0.2">
      <c r="A141" s="3">
        <v>1</v>
      </c>
      <c r="C141" s="3" t="str">
        <f>IF(B141="","",IF(ISNUMBER(VALUE(_xlfn.TEXTBEFORE(B141," "))),_xlfn.XLOOKUP(VALUE(_xlfn.TEXTBEFORE(B141," ")),Legend!$B$11:$B$26,Legend!$A$11:$A$26,"NOT FOUND",0,1),_xlfn.TEXTBEFORE(B141," ")))</f>
        <v/>
      </c>
      <c r="D141" s="3" t="str">
        <f t="shared" si="2"/>
        <v/>
      </c>
      <c r="E141" s="159" t="str">
        <f>IF(C141="","",_xlfn.XLOOKUP(C141,Legend!$A$10:$A$26,Legend!$C$10:$C$26,"NOT FOUND",0,1))</f>
        <v/>
      </c>
      <c r="F141" s="160" t="str">
        <f>IF(C141="","",_xlfn.XLOOKUP(D141,Legend!$A$29:$A$118,Legend!$B$29:$B$118,"NOT FOUND",0,1))</f>
        <v/>
      </c>
      <c r="G141" s="268" t="str">
        <f>IF(C141="","",_xlfn.XLOOKUP(D141,Legend!$A$29:$A$118,Legend!$C$29:$C$118,"NOT FOUND",0,1))</f>
        <v/>
      </c>
    </row>
    <row r="142" spans="1:7" x14ac:dyDescent="0.2">
      <c r="A142" s="3">
        <v>1</v>
      </c>
      <c r="C142" s="3" t="str">
        <f>IF(B142="","",IF(ISNUMBER(VALUE(_xlfn.TEXTBEFORE(B142," "))),_xlfn.XLOOKUP(VALUE(_xlfn.TEXTBEFORE(B142," ")),Legend!$B$11:$B$26,Legend!$A$11:$A$26,"NOT FOUND",0,1),_xlfn.TEXTBEFORE(B142," ")))</f>
        <v/>
      </c>
      <c r="D142" s="3" t="str">
        <f t="shared" si="2"/>
        <v/>
      </c>
      <c r="E142" s="159" t="str">
        <f>IF(C142="","",_xlfn.XLOOKUP(C142,Legend!$A$10:$A$26,Legend!$C$10:$C$26,"NOT FOUND",0,1))</f>
        <v/>
      </c>
      <c r="F142" s="160" t="str">
        <f>IF(C142="","",_xlfn.XLOOKUP(D142,Legend!$A$29:$A$118,Legend!$B$29:$B$118,"NOT FOUND",0,1))</f>
        <v/>
      </c>
      <c r="G142" s="268" t="str">
        <f>IF(C142="","",_xlfn.XLOOKUP(D142,Legend!$A$29:$A$118,Legend!$C$29:$C$118,"NOT FOUND",0,1))</f>
        <v/>
      </c>
    </row>
    <row r="143" spans="1:7" x14ac:dyDescent="0.2">
      <c r="A143" s="3">
        <v>1</v>
      </c>
      <c r="C143" s="3" t="str">
        <f>IF(B143="","",IF(ISNUMBER(VALUE(_xlfn.TEXTBEFORE(B143," "))),_xlfn.XLOOKUP(VALUE(_xlfn.TEXTBEFORE(B143," ")),Legend!$B$11:$B$26,Legend!$A$11:$A$26,"NOT FOUND",0,1),_xlfn.TEXTBEFORE(B143," ")))</f>
        <v/>
      </c>
      <c r="D143" s="3" t="str">
        <f t="shared" si="2"/>
        <v/>
      </c>
      <c r="E143" s="159" t="str">
        <f>IF(C143="","",_xlfn.XLOOKUP(C143,Legend!$A$10:$A$26,Legend!$C$10:$C$26,"NOT FOUND",0,1))</f>
        <v/>
      </c>
      <c r="F143" s="160" t="str">
        <f>IF(C143="","",_xlfn.XLOOKUP(D143,Legend!$A$29:$A$118,Legend!$B$29:$B$118,"NOT FOUND",0,1))</f>
        <v/>
      </c>
      <c r="G143" s="268" t="str">
        <f>IF(C143="","",_xlfn.XLOOKUP(D143,Legend!$A$29:$A$118,Legend!$C$29:$C$118,"NOT FOUND",0,1))</f>
        <v/>
      </c>
    </row>
    <row r="144" spans="1:7" x14ac:dyDescent="0.2">
      <c r="A144" s="3">
        <v>1</v>
      </c>
      <c r="C144" s="3" t="str">
        <f>IF(B144="","",IF(ISNUMBER(VALUE(_xlfn.TEXTBEFORE(B144," "))),_xlfn.XLOOKUP(VALUE(_xlfn.TEXTBEFORE(B144," ")),Legend!$B$11:$B$26,Legend!$A$11:$A$26,"NOT FOUND",0,1),_xlfn.TEXTBEFORE(B144," ")))</f>
        <v/>
      </c>
      <c r="D144" s="3" t="str">
        <f t="shared" si="2"/>
        <v/>
      </c>
      <c r="E144" s="159" t="str">
        <f>IF(C144="","",_xlfn.XLOOKUP(C144,Legend!$A$10:$A$26,Legend!$C$10:$C$26,"NOT FOUND",0,1))</f>
        <v/>
      </c>
      <c r="F144" s="160" t="str">
        <f>IF(C144="","",_xlfn.XLOOKUP(D144,Legend!$A$29:$A$118,Legend!$B$29:$B$118,"NOT FOUND",0,1))</f>
        <v/>
      </c>
      <c r="G144" s="268" t="str">
        <f>IF(C144="","",_xlfn.XLOOKUP(D144,Legend!$A$29:$A$118,Legend!$C$29:$C$118,"NOT FOUND",0,1))</f>
        <v/>
      </c>
    </row>
    <row r="145" spans="1:7" x14ac:dyDescent="0.2">
      <c r="A145" s="3">
        <v>1</v>
      </c>
      <c r="C145" s="3" t="str">
        <f>IF(B145="","",IF(ISNUMBER(VALUE(_xlfn.TEXTBEFORE(B145," "))),_xlfn.XLOOKUP(VALUE(_xlfn.TEXTBEFORE(B145," ")),Legend!$B$11:$B$26,Legend!$A$11:$A$26,"NOT FOUND",0,1),_xlfn.TEXTBEFORE(B145," ")))</f>
        <v/>
      </c>
      <c r="D145" s="3" t="str">
        <f t="shared" si="2"/>
        <v/>
      </c>
      <c r="E145" s="159" t="str">
        <f>IF(C145="","",_xlfn.XLOOKUP(C145,Legend!$A$10:$A$26,Legend!$C$10:$C$26,"NOT FOUND",0,1))</f>
        <v/>
      </c>
      <c r="F145" s="160" t="str">
        <f>IF(C145="","",_xlfn.XLOOKUP(D145,Legend!$A$29:$A$118,Legend!$B$29:$B$118,"NOT FOUND",0,1))</f>
        <v/>
      </c>
      <c r="G145" s="268" t="str">
        <f>IF(C145="","",_xlfn.XLOOKUP(D145,Legend!$A$29:$A$118,Legend!$C$29:$C$118,"NOT FOUND",0,1))</f>
        <v/>
      </c>
    </row>
    <row r="146" spans="1:7" x14ac:dyDescent="0.2">
      <c r="A146" s="3">
        <v>1</v>
      </c>
      <c r="C146" s="3" t="str">
        <f>IF(B146="","",IF(ISNUMBER(VALUE(_xlfn.TEXTBEFORE(B146," "))),_xlfn.XLOOKUP(VALUE(_xlfn.TEXTBEFORE(B146," ")),Legend!$B$11:$B$26,Legend!$A$11:$A$26,"NOT FOUND",0,1),_xlfn.TEXTBEFORE(B146," ")))</f>
        <v/>
      </c>
      <c r="D146" s="3" t="str">
        <f t="shared" si="2"/>
        <v/>
      </c>
      <c r="E146" s="159" t="str">
        <f>IF(C146="","",_xlfn.XLOOKUP(C146,Legend!$A$10:$A$26,Legend!$C$10:$C$26,"NOT FOUND",0,1))</f>
        <v/>
      </c>
      <c r="F146" s="160" t="str">
        <f>IF(C146="","",_xlfn.XLOOKUP(D146,Legend!$A$29:$A$118,Legend!$B$29:$B$118,"NOT FOUND",0,1))</f>
        <v/>
      </c>
      <c r="G146" s="268" t="str">
        <f>IF(C146="","",_xlfn.XLOOKUP(D146,Legend!$A$29:$A$118,Legend!$C$29:$C$118,"NOT FOUND",0,1))</f>
        <v/>
      </c>
    </row>
    <row r="147" spans="1:7" x14ac:dyDescent="0.2">
      <c r="A147" s="3">
        <v>1</v>
      </c>
      <c r="C147" s="3" t="str">
        <f>IF(B147="","",IF(ISNUMBER(VALUE(_xlfn.TEXTBEFORE(B147," "))),_xlfn.XLOOKUP(VALUE(_xlfn.TEXTBEFORE(B147," ")),Legend!$B$11:$B$26,Legend!$A$11:$A$26,"NOT FOUND",0,1),_xlfn.TEXTBEFORE(B147," ")))</f>
        <v/>
      </c>
      <c r="D147" s="3" t="str">
        <f t="shared" si="2"/>
        <v/>
      </c>
      <c r="E147" s="159" t="str">
        <f>IF(C147="","",_xlfn.XLOOKUP(C147,Legend!$A$10:$A$26,Legend!$C$10:$C$26,"NOT FOUND",0,1))</f>
        <v/>
      </c>
      <c r="F147" s="160" t="str">
        <f>IF(C147="","",_xlfn.XLOOKUP(D147,Legend!$A$29:$A$118,Legend!$B$29:$B$118,"NOT FOUND",0,1))</f>
        <v/>
      </c>
      <c r="G147" s="268" t="str">
        <f>IF(C147="","",_xlfn.XLOOKUP(D147,Legend!$A$29:$A$118,Legend!$C$29:$C$118,"NOT FOUND",0,1))</f>
        <v/>
      </c>
    </row>
    <row r="148" spans="1:7" x14ac:dyDescent="0.2">
      <c r="A148" s="3">
        <v>1</v>
      </c>
      <c r="C148" s="3" t="str">
        <f>IF(B148="","",IF(ISNUMBER(VALUE(_xlfn.TEXTBEFORE(B148," "))),_xlfn.XLOOKUP(VALUE(_xlfn.TEXTBEFORE(B148," ")),Legend!$B$11:$B$26,Legend!$A$11:$A$26,"NOT FOUND",0,1),_xlfn.TEXTBEFORE(B148," ")))</f>
        <v/>
      </c>
      <c r="D148" s="3" t="str">
        <f t="shared" si="2"/>
        <v/>
      </c>
      <c r="E148" s="159" t="str">
        <f>IF(C148="","",_xlfn.XLOOKUP(C148,Legend!$A$10:$A$26,Legend!$C$10:$C$26,"NOT FOUND",0,1))</f>
        <v/>
      </c>
      <c r="F148" s="160" t="str">
        <f>IF(C148="","",_xlfn.XLOOKUP(D148,Legend!$A$29:$A$118,Legend!$B$29:$B$118,"NOT FOUND",0,1))</f>
        <v/>
      </c>
      <c r="G148" s="268" t="str">
        <f>IF(C148="","",_xlfn.XLOOKUP(D148,Legend!$A$29:$A$118,Legend!$C$29:$C$118,"NOT FOUND",0,1))</f>
        <v/>
      </c>
    </row>
    <row r="149" spans="1:7" x14ac:dyDescent="0.2">
      <c r="A149" s="3">
        <v>1</v>
      </c>
      <c r="C149" s="3" t="str">
        <f>IF(B149="","",IF(ISNUMBER(VALUE(_xlfn.TEXTBEFORE(B149," "))),_xlfn.XLOOKUP(VALUE(_xlfn.TEXTBEFORE(B149," ")),Legend!$B$11:$B$26,Legend!$A$11:$A$26,"NOT FOUND",0,1),_xlfn.TEXTBEFORE(B149," ")))</f>
        <v/>
      </c>
      <c r="D149" s="3" t="str">
        <f t="shared" si="2"/>
        <v/>
      </c>
      <c r="E149" s="159" t="str">
        <f>IF(C149="","",_xlfn.XLOOKUP(C149,Legend!$A$10:$A$26,Legend!$C$10:$C$26,"NOT FOUND",0,1))</f>
        <v/>
      </c>
      <c r="F149" s="160" t="str">
        <f>IF(C149="","",_xlfn.XLOOKUP(D149,Legend!$A$29:$A$118,Legend!$B$29:$B$118,"NOT FOUND",0,1))</f>
        <v/>
      </c>
      <c r="G149" s="268" t="str">
        <f>IF(C149="","",_xlfn.XLOOKUP(D149,Legend!$A$29:$A$118,Legend!$C$29:$C$118,"NOT FOUND",0,1))</f>
        <v/>
      </c>
    </row>
    <row r="150" spans="1:7" x14ac:dyDescent="0.2">
      <c r="A150" s="3">
        <v>1</v>
      </c>
      <c r="C150" s="3" t="str">
        <f>IF(B150="","",IF(ISNUMBER(VALUE(_xlfn.TEXTBEFORE(B150," "))),_xlfn.XLOOKUP(VALUE(_xlfn.TEXTBEFORE(B150," ")),Legend!$B$11:$B$26,Legend!$A$11:$A$26,"NOT FOUND",0,1),_xlfn.TEXTBEFORE(B150," ")))</f>
        <v/>
      </c>
      <c r="D150" s="3" t="str">
        <f t="shared" si="2"/>
        <v/>
      </c>
      <c r="E150" s="159" t="str">
        <f>IF(C150="","",_xlfn.XLOOKUP(C150,Legend!$A$10:$A$26,Legend!$C$10:$C$26,"NOT FOUND",0,1))</f>
        <v/>
      </c>
      <c r="F150" s="160" t="str">
        <f>IF(C150="","",_xlfn.XLOOKUP(D150,Legend!$A$29:$A$118,Legend!$B$29:$B$118,"NOT FOUND",0,1))</f>
        <v/>
      </c>
      <c r="G150" s="268" t="str">
        <f>IF(C150="","",_xlfn.XLOOKUP(D150,Legend!$A$29:$A$118,Legend!$C$29:$C$118,"NOT FOUND",0,1))</f>
        <v/>
      </c>
    </row>
    <row r="151" spans="1:7" x14ac:dyDescent="0.2">
      <c r="A151" s="3">
        <v>1</v>
      </c>
      <c r="C151" s="3" t="str">
        <f>IF(B151="","",IF(ISNUMBER(VALUE(_xlfn.TEXTBEFORE(B151," "))),_xlfn.XLOOKUP(VALUE(_xlfn.TEXTBEFORE(B151," ")),Legend!$B$11:$B$26,Legend!$A$11:$A$26,"NOT FOUND",0,1),_xlfn.TEXTBEFORE(B151," ")))</f>
        <v/>
      </c>
      <c r="D151" s="3" t="str">
        <f t="shared" si="2"/>
        <v/>
      </c>
      <c r="E151" s="159" t="str">
        <f>IF(C151="","",_xlfn.XLOOKUP(C151,Legend!$A$10:$A$26,Legend!$C$10:$C$26,"NOT FOUND",0,1))</f>
        <v/>
      </c>
      <c r="F151" s="160" t="str">
        <f>IF(C151="","",_xlfn.XLOOKUP(D151,Legend!$A$29:$A$118,Legend!$B$29:$B$118,"NOT FOUND",0,1))</f>
        <v/>
      </c>
      <c r="G151" s="268" t="str">
        <f>IF(C151="","",_xlfn.XLOOKUP(D151,Legend!$A$29:$A$118,Legend!$C$29:$C$118,"NOT FOUND",0,1))</f>
        <v/>
      </c>
    </row>
    <row r="152" spans="1:7" x14ac:dyDescent="0.2">
      <c r="A152" s="3">
        <v>1</v>
      </c>
      <c r="C152" s="3" t="str">
        <f>IF(B152="","",IF(ISNUMBER(VALUE(_xlfn.TEXTBEFORE(B152," "))),_xlfn.XLOOKUP(VALUE(_xlfn.TEXTBEFORE(B152," ")),Legend!$B$11:$B$26,Legend!$A$11:$A$26,"NOT FOUND",0,1),_xlfn.TEXTBEFORE(B152," ")))</f>
        <v/>
      </c>
      <c r="D152" s="3" t="str">
        <f t="shared" si="2"/>
        <v/>
      </c>
      <c r="E152" s="159" t="str">
        <f>IF(C152="","",_xlfn.XLOOKUP(C152,Legend!$A$10:$A$26,Legend!$C$10:$C$26,"NOT FOUND",0,1))</f>
        <v/>
      </c>
      <c r="F152" s="160" t="str">
        <f>IF(C152="","",_xlfn.XLOOKUP(D152,Legend!$A$29:$A$118,Legend!$B$29:$B$118,"NOT FOUND",0,1))</f>
        <v/>
      </c>
      <c r="G152" s="268" t="str">
        <f>IF(C152="","",_xlfn.XLOOKUP(D152,Legend!$A$29:$A$118,Legend!$C$29:$C$118,"NOT FOUND",0,1))</f>
        <v/>
      </c>
    </row>
    <row r="153" spans="1:7" x14ac:dyDescent="0.2">
      <c r="A153" s="3">
        <v>1</v>
      </c>
      <c r="C153" s="3" t="str">
        <f>IF(B153="","",IF(ISNUMBER(VALUE(_xlfn.TEXTBEFORE(B153," "))),_xlfn.XLOOKUP(VALUE(_xlfn.TEXTBEFORE(B153," ")),Legend!$B$11:$B$26,Legend!$A$11:$A$26,"NOT FOUND",0,1),_xlfn.TEXTBEFORE(B153," ")))</f>
        <v/>
      </c>
      <c r="D153" s="3" t="str">
        <f t="shared" si="2"/>
        <v/>
      </c>
      <c r="E153" s="159" t="str">
        <f>IF(C153="","",_xlfn.XLOOKUP(C153,Legend!$A$10:$A$26,Legend!$C$10:$C$26,"NOT FOUND",0,1))</f>
        <v/>
      </c>
      <c r="F153" s="160" t="str">
        <f>IF(C153="","",_xlfn.XLOOKUP(D153,Legend!$A$29:$A$118,Legend!$B$29:$B$118,"NOT FOUND",0,1))</f>
        <v/>
      </c>
      <c r="G153" s="268" t="str">
        <f>IF(C153="","",_xlfn.XLOOKUP(D153,Legend!$A$29:$A$118,Legend!$C$29:$C$118,"NOT FOUND",0,1))</f>
        <v/>
      </c>
    </row>
    <row r="154" spans="1:7" x14ac:dyDescent="0.2">
      <c r="A154" s="3">
        <v>1</v>
      </c>
      <c r="C154" s="3" t="str">
        <f>IF(B154="","",IF(ISNUMBER(VALUE(_xlfn.TEXTBEFORE(B154," "))),_xlfn.XLOOKUP(VALUE(_xlfn.TEXTBEFORE(B154," ")),Legend!$B$11:$B$26,Legend!$A$11:$A$26,"NOT FOUND",0,1),_xlfn.TEXTBEFORE(B154," ")))</f>
        <v/>
      </c>
      <c r="D154" s="3" t="str">
        <f t="shared" si="2"/>
        <v/>
      </c>
      <c r="E154" s="159" t="str">
        <f>IF(C154="","",_xlfn.XLOOKUP(C154,Legend!$A$10:$A$26,Legend!$C$10:$C$26,"NOT FOUND",0,1))</f>
        <v/>
      </c>
      <c r="F154" s="160" t="str">
        <f>IF(C154="","",_xlfn.XLOOKUP(D154,Legend!$A$29:$A$118,Legend!$B$29:$B$118,"NOT FOUND",0,1))</f>
        <v/>
      </c>
      <c r="G154" s="268" t="str">
        <f>IF(C154="","",_xlfn.XLOOKUP(D154,Legend!$A$29:$A$118,Legend!$C$29:$C$118,"NOT FOUND",0,1))</f>
        <v/>
      </c>
    </row>
    <row r="155" spans="1:7" x14ac:dyDescent="0.2">
      <c r="A155" s="3">
        <v>1</v>
      </c>
      <c r="C155" s="3" t="str">
        <f>IF(B155="","",IF(ISNUMBER(VALUE(_xlfn.TEXTBEFORE(B155," "))),_xlfn.XLOOKUP(VALUE(_xlfn.TEXTBEFORE(B155," ")),Legend!$B$11:$B$26,Legend!$A$11:$A$26,"NOT FOUND",0,1),_xlfn.TEXTBEFORE(B155," ")))</f>
        <v/>
      </c>
      <c r="D155" s="3" t="str">
        <f t="shared" si="2"/>
        <v/>
      </c>
      <c r="E155" s="159" t="str">
        <f>IF(C155="","",_xlfn.XLOOKUP(C155,Legend!$A$10:$A$26,Legend!$C$10:$C$26,"NOT FOUND",0,1))</f>
        <v/>
      </c>
      <c r="F155" s="160" t="str">
        <f>IF(C155="","",_xlfn.XLOOKUP(D155,Legend!$A$29:$A$118,Legend!$B$29:$B$118,"NOT FOUND",0,1))</f>
        <v/>
      </c>
      <c r="G155" s="268" t="str">
        <f>IF(C155="","",_xlfn.XLOOKUP(D155,Legend!$A$29:$A$118,Legend!$C$29:$C$118,"NOT FOUND",0,1))</f>
        <v/>
      </c>
    </row>
    <row r="156" spans="1:7" x14ac:dyDescent="0.2">
      <c r="A156" s="3">
        <v>1</v>
      </c>
      <c r="C156" s="3" t="str">
        <f>IF(B156="","",IF(ISNUMBER(VALUE(_xlfn.TEXTBEFORE(B156," "))),_xlfn.XLOOKUP(VALUE(_xlfn.TEXTBEFORE(B156," ")),Legend!$B$11:$B$26,Legend!$A$11:$A$26,"NOT FOUND",0,1),_xlfn.TEXTBEFORE(B156," ")))</f>
        <v/>
      </c>
      <c r="D156" s="3" t="str">
        <f t="shared" si="2"/>
        <v/>
      </c>
      <c r="E156" s="159" t="str">
        <f>IF(C156="","",_xlfn.XLOOKUP(C156,Legend!$A$10:$A$26,Legend!$C$10:$C$26,"NOT FOUND",0,1))</f>
        <v/>
      </c>
      <c r="F156" s="160" t="str">
        <f>IF(C156="","",_xlfn.XLOOKUP(D156,Legend!$A$29:$A$118,Legend!$B$29:$B$118,"NOT FOUND",0,1))</f>
        <v/>
      </c>
      <c r="G156" s="268" t="str">
        <f>IF(C156="","",_xlfn.XLOOKUP(D156,Legend!$A$29:$A$118,Legend!$C$29:$C$118,"NOT FOUND",0,1))</f>
        <v/>
      </c>
    </row>
    <row r="157" spans="1:7" x14ac:dyDescent="0.2">
      <c r="A157" s="3">
        <v>1</v>
      </c>
      <c r="C157" s="3" t="str">
        <f>IF(B157="","",IF(ISNUMBER(VALUE(_xlfn.TEXTBEFORE(B157," "))),_xlfn.XLOOKUP(VALUE(_xlfn.TEXTBEFORE(B157," ")),Legend!$B$11:$B$26,Legend!$A$11:$A$26,"NOT FOUND",0,1),_xlfn.TEXTBEFORE(B157," ")))</f>
        <v/>
      </c>
      <c r="D157" s="3" t="str">
        <f t="shared" si="2"/>
        <v/>
      </c>
      <c r="E157" s="159" t="str">
        <f>IF(C157="","",_xlfn.XLOOKUP(C157,Legend!$A$10:$A$26,Legend!$C$10:$C$26,"NOT FOUND",0,1))</f>
        <v/>
      </c>
      <c r="F157" s="160" t="str">
        <f>IF(C157="","",_xlfn.XLOOKUP(D157,Legend!$A$29:$A$118,Legend!$B$29:$B$118,"NOT FOUND",0,1))</f>
        <v/>
      </c>
      <c r="G157" s="268" t="str">
        <f>IF(C157="","",_xlfn.XLOOKUP(D157,Legend!$A$29:$A$118,Legend!$C$29:$C$118,"NOT FOUND",0,1))</f>
        <v/>
      </c>
    </row>
    <row r="158" spans="1:7" x14ac:dyDescent="0.2">
      <c r="A158" s="3">
        <v>1</v>
      </c>
      <c r="C158" s="3" t="str">
        <f>IF(B158="","",IF(ISNUMBER(VALUE(_xlfn.TEXTBEFORE(B158," "))),_xlfn.XLOOKUP(VALUE(_xlfn.TEXTBEFORE(B158," ")),Legend!$B$11:$B$26,Legend!$A$11:$A$26,"NOT FOUND",0,1),_xlfn.TEXTBEFORE(B158," ")))</f>
        <v/>
      </c>
      <c r="D158" s="3" t="str">
        <f t="shared" si="2"/>
        <v/>
      </c>
      <c r="E158" s="159" t="str">
        <f>IF(C158="","",_xlfn.XLOOKUP(C158,Legend!$A$10:$A$26,Legend!$C$10:$C$26,"NOT FOUND",0,1))</f>
        <v/>
      </c>
      <c r="F158" s="160" t="str">
        <f>IF(C158="","",_xlfn.XLOOKUP(D158,Legend!$A$29:$A$118,Legend!$B$29:$B$118,"NOT FOUND",0,1))</f>
        <v/>
      </c>
      <c r="G158" s="268" t="str">
        <f>IF(C158="","",_xlfn.XLOOKUP(D158,Legend!$A$29:$A$118,Legend!$C$29:$C$118,"NOT FOUND",0,1))</f>
        <v/>
      </c>
    </row>
    <row r="159" spans="1:7" x14ac:dyDescent="0.2">
      <c r="A159" s="3">
        <v>1</v>
      </c>
      <c r="C159" s="3" t="str">
        <f>IF(B159="","",IF(ISNUMBER(VALUE(_xlfn.TEXTBEFORE(B159," "))),_xlfn.XLOOKUP(VALUE(_xlfn.TEXTBEFORE(B159," ")),Legend!$B$11:$B$26,Legend!$A$11:$A$26,"NOT FOUND",0,1),_xlfn.TEXTBEFORE(B159," ")))</f>
        <v/>
      </c>
      <c r="D159" s="3" t="str">
        <f t="shared" si="2"/>
        <v/>
      </c>
      <c r="E159" s="159" t="str">
        <f>IF(C159="","",_xlfn.XLOOKUP(C159,Legend!$A$10:$A$26,Legend!$C$10:$C$26,"NOT FOUND",0,1))</f>
        <v/>
      </c>
      <c r="F159" s="160" t="str">
        <f>IF(C159="","",_xlfn.XLOOKUP(D159,Legend!$A$29:$A$118,Legend!$B$29:$B$118,"NOT FOUND",0,1))</f>
        <v/>
      </c>
      <c r="G159" s="268" t="str">
        <f>IF(C159="","",_xlfn.XLOOKUP(D159,Legend!$A$29:$A$118,Legend!$C$29:$C$118,"NOT FOUND",0,1))</f>
        <v/>
      </c>
    </row>
    <row r="160" spans="1:7" x14ac:dyDescent="0.2">
      <c r="A160" s="3">
        <v>1</v>
      </c>
      <c r="C160" s="3" t="str">
        <f>IF(B160="","",IF(ISNUMBER(VALUE(_xlfn.TEXTBEFORE(B160," "))),_xlfn.XLOOKUP(VALUE(_xlfn.TEXTBEFORE(B160," ")),Legend!$B$11:$B$26,Legend!$A$11:$A$26,"NOT FOUND",0,1),_xlfn.TEXTBEFORE(B160," ")))</f>
        <v/>
      </c>
      <c r="D160" s="3" t="str">
        <f t="shared" si="2"/>
        <v/>
      </c>
      <c r="E160" s="159" t="str">
        <f>IF(C160="","",_xlfn.XLOOKUP(C160,Legend!$A$10:$A$26,Legend!$C$10:$C$26,"NOT FOUND",0,1))</f>
        <v/>
      </c>
      <c r="F160" s="160" t="str">
        <f>IF(C160="","",_xlfn.XLOOKUP(D160,Legend!$A$29:$A$118,Legend!$B$29:$B$118,"NOT FOUND",0,1))</f>
        <v/>
      </c>
      <c r="G160" s="268" t="str">
        <f>IF(C160="","",_xlfn.XLOOKUP(D160,Legend!$A$29:$A$118,Legend!$C$29:$C$118,"NOT FOUND",0,1))</f>
        <v/>
      </c>
    </row>
    <row r="161" spans="1:7" x14ac:dyDescent="0.2">
      <c r="A161" s="3">
        <v>1</v>
      </c>
      <c r="C161" s="3" t="str">
        <f>IF(B161="","",IF(ISNUMBER(VALUE(_xlfn.TEXTBEFORE(B161," "))),_xlfn.XLOOKUP(VALUE(_xlfn.TEXTBEFORE(B161," ")),Legend!$B$11:$B$26,Legend!$A$11:$A$26,"NOT FOUND",0,1),_xlfn.TEXTBEFORE(B161," ")))</f>
        <v/>
      </c>
      <c r="D161" s="3" t="str">
        <f t="shared" si="2"/>
        <v/>
      </c>
      <c r="E161" s="159" t="str">
        <f>IF(C161="","",_xlfn.XLOOKUP(C161,Legend!$A$10:$A$26,Legend!$C$10:$C$26,"NOT FOUND",0,1))</f>
        <v/>
      </c>
      <c r="F161" s="160" t="str">
        <f>IF(C161="","",_xlfn.XLOOKUP(D161,Legend!$A$29:$A$118,Legend!$B$29:$B$118,"NOT FOUND",0,1))</f>
        <v/>
      </c>
      <c r="G161" s="268" t="str">
        <f>IF(C161="","",_xlfn.XLOOKUP(D161,Legend!$A$29:$A$118,Legend!$C$29:$C$118,"NOT FOUND",0,1))</f>
        <v/>
      </c>
    </row>
    <row r="162" spans="1:7" x14ac:dyDescent="0.2">
      <c r="A162" s="3">
        <v>1</v>
      </c>
      <c r="C162" s="3" t="str">
        <f>IF(B162="","",IF(ISNUMBER(VALUE(_xlfn.TEXTBEFORE(B162," "))),_xlfn.XLOOKUP(VALUE(_xlfn.TEXTBEFORE(B162," ")),Legend!$B$11:$B$26,Legend!$A$11:$A$26,"NOT FOUND",0,1),_xlfn.TEXTBEFORE(B162," ")))</f>
        <v/>
      </c>
      <c r="D162" s="3" t="str">
        <f t="shared" si="2"/>
        <v/>
      </c>
      <c r="E162" s="159" t="str">
        <f>IF(C162="","",_xlfn.XLOOKUP(C162,Legend!$A$10:$A$26,Legend!$C$10:$C$26,"NOT FOUND",0,1))</f>
        <v/>
      </c>
      <c r="F162" s="160" t="str">
        <f>IF(C162="","",_xlfn.XLOOKUP(D162,Legend!$A$29:$A$118,Legend!$B$29:$B$118,"NOT FOUND",0,1))</f>
        <v/>
      </c>
      <c r="G162" s="268" t="str">
        <f>IF(C162="","",_xlfn.XLOOKUP(D162,Legend!$A$29:$A$118,Legend!$C$29:$C$118,"NOT FOUND",0,1))</f>
        <v/>
      </c>
    </row>
    <row r="163" spans="1:7" x14ac:dyDescent="0.2">
      <c r="A163" s="3">
        <v>1</v>
      </c>
      <c r="C163" s="3" t="str">
        <f>IF(B163="","",IF(ISNUMBER(VALUE(_xlfn.TEXTBEFORE(B163," "))),_xlfn.XLOOKUP(VALUE(_xlfn.TEXTBEFORE(B163," ")),Legend!$B$11:$B$26,Legend!$A$11:$A$26,"NOT FOUND",0,1),_xlfn.TEXTBEFORE(B163," ")))</f>
        <v/>
      </c>
      <c r="D163" s="3" t="str">
        <f t="shared" si="2"/>
        <v/>
      </c>
      <c r="E163" s="159" t="str">
        <f>IF(C163="","",_xlfn.XLOOKUP(C163,Legend!$A$10:$A$26,Legend!$C$10:$C$26,"NOT FOUND",0,1))</f>
        <v/>
      </c>
      <c r="F163" s="160" t="str">
        <f>IF(C163="","",_xlfn.XLOOKUP(D163,Legend!$A$29:$A$118,Legend!$B$29:$B$118,"NOT FOUND",0,1))</f>
        <v/>
      </c>
      <c r="G163" s="268" t="str">
        <f>IF(C163="","",_xlfn.XLOOKUP(D163,Legend!$A$29:$A$118,Legend!$C$29:$C$118,"NOT FOUND",0,1))</f>
        <v/>
      </c>
    </row>
    <row r="164" spans="1:7" x14ac:dyDescent="0.2">
      <c r="A164" s="3">
        <v>1</v>
      </c>
      <c r="C164" s="3" t="str">
        <f>IF(B164="","",IF(ISNUMBER(VALUE(_xlfn.TEXTBEFORE(B164," "))),_xlfn.XLOOKUP(VALUE(_xlfn.TEXTBEFORE(B164," ")),Legend!$B$11:$B$26,Legend!$A$11:$A$26,"NOT FOUND",0,1),_xlfn.TEXTBEFORE(B164," ")))</f>
        <v/>
      </c>
      <c r="D164" s="3" t="str">
        <f t="shared" si="2"/>
        <v/>
      </c>
      <c r="E164" s="159" t="str">
        <f>IF(C164="","",_xlfn.XLOOKUP(C164,Legend!$A$10:$A$26,Legend!$C$10:$C$26,"NOT FOUND",0,1))</f>
        <v/>
      </c>
      <c r="F164" s="160" t="str">
        <f>IF(C164="","",_xlfn.XLOOKUP(D164,Legend!$A$29:$A$118,Legend!$B$29:$B$118,"NOT FOUND",0,1))</f>
        <v/>
      </c>
      <c r="G164" s="268" t="str">
        <f>IF(C164="","",_xlfn.XLOOKUP(D164,Legend!$A$29:$A$118,Legend!$C$29:$C$118,"NOT FOUND",0,1))</f>
        <v/>
      </c>
    </row>
    <row r="165" spans="1:7" x14ac:dyDescent="0.2">
      <c r="A165" s="3">
        <v>1</v>
      </c>
      <c r="C165" s="3" t="str">
        <f>IF(B165="","",IF(ISNUMBER(VALUE(_xlfn.TEXTBEFORE(B165," "))),_xlfn.XLOOKUP(VALUE(_xlfn.TEXTBEFORE(B165," ")),Legend!$B$11:$B$26,Legend!$A$11:$A$26,"NOT FOUND",0,1),_xlfn.TEXTBEFORE(B165," ")))</f>
        <v/>
      </c>
      <c r="D165" s="3" t="str">
        <f t="shared" si="2"/>
        <v/>
      </c>
      <c r="E165" s="159" t="str">
        <f>IF(C165="","",_xlfn.XLOOKUP(C165,Legend!$A$10:$A$26,Legend!$C$10:$C$26,"NOT FOUND",0,1))</f>
        <v/>
      </c>
      <c r="F165" s="160" t="str">
        <f>IF(C165="","",_xlfn.XLOOKUP(D165,Legend!$A$29:$A$118,Legend!$B$29:$B$118,"NOT FOUND",0,1))</f>
        <v/>
      </c>
      <c r="G165" s="268" t="str">
        <f>IF(C165="","",_xlfn.XLOOKUP(D165,Legend!$A$29:$A$118,Legend!$C$29:$C$118,"NOT FOUND",0,1))</f>
        <v/>
      </c>
    </row>
    <row r="166" spans="1:7" x14ac:dyDescent="0.2">
      <c r="A166" s="3">
        <v>1</v>
      </c>
      <c r="C166" s="3" t="str">
        <f>IF(B166="","",IF(ISNUMBER(VALUE(_xlfn.TEXTBEFORE(B166," "))),_xlfn.XLOOKUP(VALUE(_xlfn.TEXTBEFORE(B166," ")),Legend!$B$11:$B$26,Legend!$A$11:$A$26,"NOT FOUND",0,1),_xlfn.TEXTBEFORE(B166," ")))</f>
        <v/>
      </c>
      <c r="D166" s="3" t="str">
        <f t="shared" si="2"/>
        <v/>
      </c>
      <c r="E166" s="159" t="str">
        <f>IF(C166="","",_xlfn.XLOOKUP(C166,Legend!$A$10:$A$26,Legend!$C$10:$C$26,"NOT FOUND",0,1))</f>
        <v/>
      </c>
      <c r="F166" s="160" t="str">
        <f>IF(C166="","",_xlfn.XLOOKUP(D166,Legend!$A$29:$A$118,Legend!$B$29:$B$118,"NOT FOUND",0,1))</f>
        <v/>
      </c>
      <c r="G166" s="268" t="str">
        <f>IF(C166="","",_xlfn.XLOOKUP(D166,Legend!$A$29:$A$118,Legend!$C$29:$C$118,"NOT FOUND",0,1))</f>
        <v/>
      </c>
    </row>
    <row r="167" spans="1:7" x14ac:dyDescent="0.2">
      <c r="A167" s="3">
        <v>1</v>
      </c>
      <c r="C167" s="3" t="str">
        <f>IF(B167="","",IF(ISNUMBER(VALUE(_xlfn.TEXTBEFORE(B167," "))),_xlfn.XLOOKUP(VALUE(_xlfn.TEXTBEFORE(B167," ")),Legend!$B$11:$B$26,Legend!$A$11:$A$26,"NOT FOUND",0,1),_xlfn.TEXTBEFORE(B167," ")))</f>
        <v/>
      </c>
      <c r="D167" s="3" t="str">
        <f t="shared" si="2"/>
        <v/>
      </c>
      <c r="E167" s="159" t="str">
        <f>IF(C167="","",_xlfn.XLOOKUP(C167,Legend!$A$10:$A$26,Legend!$C$10:$C$26,"NOT FOUND",0,1))</f>
        <v/>
      </c>
      <c r="F167" s="160" t="str">
        <f>IF(C167="","",_xlfn.XLOOKUP(D167,Legend!$A$29:$A$118,Legend!$B$29:$B$118,"NOT FOUND",0,1))</f>
        <v/>
      </c>
      <c r="G167" s="268" t="str">
        <f>IF(C167="","",_xlfn.XLOOKUP(D167,Legend!$A$29:$A$118,Legend!$C$29:$C$118,"NOT FOUND",0,1))</f>
        <v/>
      </c>
    </row>
    <row r="168" spans="1:7" x14ac:dyDescent="0.2">
      <c r="A168" s="3">
        <v>1</v>
      </c>
      <c r="C168" s="3" t="str">
        <f>IF(B168="","",IF(ISNUMBER(VALUE(_xlfn.TEXTBEFORE(B168," "))),_xlfn.XLOOKUP(VALUE(_xlfn.TEXTBEFORE(B168," ")),Legend!$B$11:$B$26,Legend!$A$11:$A$26,"NOT FOUND",0,1),_xlfn.TEXTBEFORE(B168," ")))</f>
        <v/>
      </c>
      <c r="D168" s="3" t="str">
        <f t="shared" si="2"/>
        <v/>
      </c>
      <c r="E168" s="159" t="str">
        <f>IF(C168="","",_xlfn.XLOOKUP(C168,Legend!$A$10:$A$26,Legend!$C$10:$C$26,"NOT FOUND",0,1))</f>
        <v/>
      </c>
      <c r="F168" s="160" t="str">
        <f>IF(C168="","",_xlfn.XLOOKUP(D168,Legend!$A$29:$A$118,Legend!$B$29:$B$118,"NOT FOUND",0,1))</f>
        <v/>
      </c>
      <c r="G168" s="268" t="str">
        <f>IF(C168="","",_xlfn.XLOOKUP(D168,Legend!$A$29:$A$118,Legend!$C$29:$C$118,"NOT FOUND",0,1))</f>
        <v/>
      </c>
    </row>
    <row r="169" spans="1:7" x14ac:dyDescent="0.2">
      <c r="A169" s="3">
        <v>1</v>
      </c>
      <c r="C169" s="3" t="str">
        <f>IF(B169="","",IF(ISNUMBER(VALUE(_xlfn.TEXTBEFORE(B169," "))),_xlfn.XLOOKUP(VALUE(_xlfn.TEXTBEFORE(B169," ")),Legend!$B$11:$B$26,Legend!$A$11:$A$26,"NOT FOUND",0,1),_xlfn.TEXTBEFORE(B169," ")))</f>
        <v/>
      </c>
      <c r="D169" s="3" t="str">
        <f t="shared" si="2"/>
        <v/>
      </c>
      <c r="E169" s="159" t="str">
        <f>IF(C169="","",_xlfn.XLOOKUP(C169,Legend!$A$10:$A$26,Legend!$C$10:$C$26,"NOT FOUND",0,1))</f>
        <v/>
      </c>
      <c r="F169" s="160" t="str">
        <f>IF(C169="","",_xlfn.XLOOKUP(D169,Legend!$A$29:$A$118,Legend!$B$29:$B$118,"NOT FOUND",0,1))</f>
        <v/>
      </c>
      <c r="G169" s="268" t="str">
        <f>IF(C169="","",_xlfn.XLOOKUP(D169,Legend!$A$29:$A$118,Legend!$C$29:$C$118,"NOT FOUND",0,1))</f>
        <v/>
      </c>
    </row>
    <row r="170" spans="1:7" x14ac:dyDescent="0.2">
      <c r="A170" s="3">
        <v>1</v>
      </c>
      <c r="C170" s="3" t="str">
        <f>IF(B170="","",IF(ISNUMBER(VALUE(_xlfn.TEXTBEFORE(B170," "))),_xlfn.XLOOKUP(VALUE(_xlfn.TEXTBEFORE(B170," ")),Legend!$B$11:$B$26,Legend!$A$11:$A$26,"NOT FOUND",0,1),_xlfn.TEXTBEFORE(B170," ")))</f>
        <v/>
      </c>
      <c r="D170" s="3" t="str">
        <f t="shared" si="2"/>
        <v/>
      </c>
      <c r="E170" s="159" t="str">
        <f>IF(C170="","",_xlfn.XLOOKUP(C170,Legend!$A$10:$A$26,Legend!$C$10:$C$26,"NOT FOUND",0,1))</f>
        <v/>
      </c>
      <c r="F170" s="160" t="str">
        <f>IF(C170="","",_xlfn.XLOOKUP(D170,Legend!$A$29:$A$118,Legend!$B$29:$B$118,"NOT FOUND",0,1))</f>
        <v/>
      </c>
      <c r="G170" s="268" t="str">
        <f>IF(C170="","",_xlfn.XLOOKUP(D170,Legend!$A$29:$A$118,Legend!$C$29:$C$118,"NOT FOUND",0,1))</f>
        <v/>
      </c>
    </row>
    <row r="171" spans="1:7" x14ac:dyDescent="0.2">
      <c r="A171" s="3">
        <v>1</v>
      </c>
      <c r="C171" s="3" t="str">
        <f>IF(B171="","",IF(ISNUMBER(VALUE(_xlfn.TEXTBEFORE(B171," "))),_xlfn.XLOOKUP(VALUE(_xlfn.TEXTBEFORE(B171," ")),Legend!$B$11:$B$26,Legend!$A$11:$A$26,"NOT FOUND",0,1),_xlfn.TEXTBEFORE(B171," ")))</f>
        <v/>
      </c>
      <c r="D171" s="3" t="str">
        <f t="shared" si="2"/>
        <v/>
      </c>
      <c r="E171" s="159" t="str">
        <f>IF(C171="","",_xlfn.XLOOKUP(C171,Legend!$A$10:$A$26,Legend!$C$10:$C$26,"NOT FOUND",0,1))</f>
        <v/>
      </c>
      <c r="F171" s="160" t="str">
        <f>IF(C171="","",_xlfn.XLOOKUP(D171,Legend!$A$29:$A$118,Legend!$B$29:$B$118,"NOT FOUND",0,1))</f>
        <v/>
      </c>
      <c r="G171" s="268" t="str">
        <f>IF(C171="","",_xlfn.XLOOKUP(D171,Legend!$A$29:$A$118,Legend!$C$29:$C$118,"NOT FOUND",0,1))</f>
        <v/>
      </c>
    </row>
    <row r="172" spans="1:7" x14ac:dyDescent="0.2">
      <c r="A172" s="3">
        <v>1</v>
      </c>
      <c r="C172" s="3" t="str">
        <f>IF(B172="","",IF(ISNUMBER(VALUE(_xlfn.TEXTBEFORE(B172," "))),_xlfn.XLOOKUP(VALUE(_xlfn.TEXTBEFORE(B172," ")),Legend!$B$11:$B$26,Legend!$A$11:$A$26,"NOT FOUND",0,1),_xlfn.TEXTBEFORE(B172," ")))</f>
        <v/>
      </c>
      <c r="D172" s="3" t="str">
        <f t="shared" si="2"/>
        <v/>
      </c>
      <c r="E172" s="159" t="str">
        <f>IF(C172="","",_xlfn.XLOOKUP(C172,Legend!$A$10:$A$26,Legend!$C$10:$C$26,"NOT FOUND",0,1))</f>
        <v/>
      </c>
      <c r="F172" s="160" t="str">
        <f>IF(C172="","",_xlfn.XLOOKUP(D172,Legend!$A$29:$A$118,Legend!$B$29:$B$118,"NOT FOUND",0,1))</f>
        <v/>
      </c>
      <c r="G172" s="268" t="str">
        <f>IF(C172="","",_xlfn.XLOOKUP(D172,Legend!$A$29:$A$118,Legend!$C$29:$C$118,"NOT FOUND",0,1))</f>
        <v/>
      </c>
    </row>
    <row r="173" spans="1:7" x14ac:dyDescent="0.2">
      <c r="A173" s="3">
        <v>1</v>
      </c>
      <c r="C173" s="3" t="str">
        <f>IF(B173="","",IF(ISNUMBER(VALUE(_xlfn.TEXTBEFORE(B173," "))),_xlfn.XLOOKUP(VALUE(_xlfn.TEXTBEFORE(B173," ")),Legend!$B$11:$B$26,Legend!$A$11:$A$26,"NOT FOUND",0,1),_xlfn.TEXTBEFORE(B173," ")))</f>
        <v/>
      </c>
      <c r="D173" s="3" t="str">
        <f t="shared" si="2"/>
        <v/>
      </c>
      <c r="E173" s="159" t="str">
        <f>IF(C173="","",_xlfn.XLOOKUP(C173,Legend!$A$10:$A$26,Legend!$C$10:$C$26,"NOT FOUND",0,1))</f>
        <v/>
      </c>
      <c r="F173" s="160" t="str">
        <f>IF(C173="","",_xlfn.XLOOKUP(D173,Legend!$A$29:$A$118,Legend!$B$29:$B$118,"NOT FOUND",0,1))</f>
        <v/>
      </c>
      <c r="G173" s="268" t="str">
        <f>IF(C173="","",_xlfn.XLOOKUP(D173,Legend!$A$29:$A$118,Legend!$C$29:$C$118,"NOT FOUND",0,1))</f>
        <v/>
      </c>
    </row>
    <row r="174" spans="1:7" x14ac:dyDescent="0.2">
      <c r="A174" s="3">
        <v>1</v>
      </c>
      <c r="C174" s="3" t="str">
        <f>IF(B174="","",IF(ISNUMBER(VALUE(_xlfn.TEXTBEFORE(B174," "))),_xlfn.XLOOKUP(VALUE(_xlfn.TEXTBEFORE(B174," ")),Legend!$B$11:$B$26,Legend!$A$11:$A$26,"NOT FOUND",0,1),_xlfn.TEXTBEFORE(B174," ")))</f>
        <v/>
      </c>
      <c r="D174" s="3" t="str">
        <f t="shared" si="2"/>
        <v/>
      </c>
      <c r="E174" s="159" t="str">
        <f>IF(C174="","",_xlfn.XLOOKUP(C174,Legend!$A$10:$A$26,Legend!$C$10:$C$26,"NOT FOUND",0,1))</f>
        <v/>
      </c>
      <c r="F174" s="160" t="str">
        <f>IF(C174="","",_xlfn.XLOOKUP(D174,Legend!$A$29:$A$118,Legend!$B$29:$B$118,"NOT FOUND",0,1))</f>
        <v/>
      </c>
      <c r="G174" s="268" t="str">
        <f>IF(C174="","",_xlfn.XLOOKUP(D174,Legend!$A$29:$A$118,Legend!$C$29:$C$118,"NOT FOUND",0,1))</f>
        <v/>
      </c>
    </row>
    <row r="175" spans="1:7" x14ac:dyDescent="0.2">
      <c r="A175" s="3">
        <v>1</v>
      </c>
      <c r="C175" s="3" t="str">
        <f>IF(B175="","",IF(ISNUMBER(VALUE(_xlfn.TEXTBEFORE(B175," "))),_xlfn.XLOOKUP(VALUE(_xlfn.TEXTBEFORE(B175," ")),Legend!$B$11:$B$26,Legend!$A$11:$A$26,"NOT FOUND",0,1),_xlfn.TEXTBEFORE(B175," ")))</f>
        <v/>
      </c>
      <c r="D175" s="3" t="str">
        <f t="shared" si="2"/>
        <v/>
      </c>
      <c r="E175" s="159" t="str">
        <f>IF(C175="","",_xlfn.XLOOKUP(C175,Legend!$A$10:$A$26,Legend!$C$10:$C$26,"NOT FOUND",0,1))</f>
        <v/>
      </c>
      <c r="F175" s="160" t="str">
        <f>IF(C175="","",_xlfn.XLOOKUP(D175,Legend!$A$29:$A$118,Legend!$B$29:$B$118,"NOT FOUND",0,1))</f>
        <v/>
      </c>
      <c r="G175" s="268" t="str">
        <f>IF(C175="","",_xlfn.XLOOKUP(D175,Legend!$A$29:$A$118,Legend!$C$29:$C$118,"NOT FOUND",0,1))</f>
        <v/>
      </c>
    </row>
    <row r="176" spans="1:7" x14ac:dyDescent="0.2">
      <c r="A176" s="3">
        <v>1</v>
      </c>
      <c r="C176" s="3" t="str">
        <f>IF(B176="","",IF(ISNUMBER(VALUE(_xlfn.TEXTBEFORE(B176," "))),_xlfn.XLOOKUP(VALUE(_xlfn.TEXTBEFORE(B176," ")),Legend!$B$11:$B$26,Legend!$A$11:$A$26,"NOT FOUND",0,1),_xlfn.TEXTBEFORE(B176," ")))</f>
        <v/>
      </c>
      <c r="D176" s="3" t="str">
        <f t="shared" si="2"/>
        <v/>
      </c>
      <c r="E176" s="159" t="str">
        <f>IF(C176="","",_xlfn.XLOOKUP(C176,Legend!$A$10:$A$26,Legend!$C$10:$C$26,"NOT FOUND",0,1))</f>
        <v/>
      </c>
      <c r="F176" s="160" t="str">
        <f>IF(C176="","",_xlfn.XLOOKUP(D176,Legend!$A$29:$A$118,Legend!$B$29:$B$118,"NOT FOUND",0,1))</f>
        <v/>
      </c>
      <c r="G176" s="268" t="str">
        <f>IF(C176="","",_xlfn.XLOOKUP(D176,Legend!$A$29:$A$118,Legend!$C$29:$C$118,"NOT FOUND",0,1))</f>
        <v/>
      </c>
    </row>
    <row r="177" spans="1:7" x14ac:dyDescent="0.2">
      <c r="A177" s="3">
        <v>1</v>
      </c>
      <c r="C177" s="3" t="str">
        <f>IF(B177="","",IF(ISNUMBER(VALUE(_xlfn.TEXTBEFORE(B177," "))),_xlfn.XLOOKUP(VALUE(_xlfn.TEXTBEFORE(B177," ")),Legend!$B$11:$B$26,Legend!$A$11:$A$26,"NOT FOUND",0,1),_xlfn.TEXTBEFORE(B177," ")))</f>
        <v/>
      </c>
      <c r="D177" s="3" t="str">
        <f t="shared" si="2"/>
        <v/>
      </c>
      <c r="E177" s="159" t="str">
        <f>IF(C177="","",_xlfn.XLOOKUP(C177,Legend!$A$10:$A$26,Legend!$C$10:$C$26,"NOT FOUND",0,1))</f>
        <v/>
      </c>
      <c r="F177" s="160" t="str">
        <f>IF(C177="","",_xlfn.XLOOKUP(D177,Legend!$A$29:$A$118,Legend!$B$29:$B$118,"NOT FOUND",0,1))</f>
        <v/>
      </c>
      <c r="G177" s="268" t="str">
        <f>IF(C177="","",_xlfn.XLOOKUP(D177,Legend!$A$29:$A$118,Legend!$C$29:$C$118,"NOT FOUND",0,1))</f>
        <v/>
      </c>
    </row>
    <row r="178" spans="1:7" x14ac:dyDescent="0.2">
      <c r="A178" s="3">
        <v>1</v>
      </c>
      <c r="C178" s="3" t="str">
        <f>IF(B178="","",IF(ISNUMBER(VALUE(_xlfn.TEXTBEFORE(B178," "))),_xlfn.XLOOKUP(VALUE(_xlfn.TEXTBEFORE(B178," ")),Legend!$B$11:$B$26,Legend!$A$11:$A$26,"NOT FOUND",0,1),_xlfn.TEXTBEFORE(B178," ")))</f>
        <v/>
      </c>
      <c r="D178" s="3" t="str">
        <f t="shared" si="2"/>
        <v/>
      </c>
      <c r="E178" s="159" t="str">
        <f>IF(C178="","",_xlfn.XLOOKUP(C178,Legend!$A$10:$A$26,Legend!$C$10:$C$26,"NOT FOUND",0,1))</f>
        <v/>
      </c>
      <c r="F178" s="160" t="str">
        <f>IF(C178="","",_xlfn.XLOOKUP(D178,Legend!$A$29:$A$118,Legend!$B$29:$B$118,"NOT FOUND",0,1))</f>
        <v/>
      </c>
      <c r="G178" s="268" t="str">
        <f>IF(C178="","",_xlfn.XLOOKUP(D178,Legend!$A$29:$A$118,Legend!$C$29:$C$118,"NOT FOUND",0,1))</f>
        <v/>
      </c>
    </row>
    <row r="179" spans="1:7" x14ac:dyDescent="0.2">
      <c r="A179" s="3">
        <v>1</v>
      </c>
      <c r="C179" s="3" t="str">
        <f>IF(B179="","",IF(ISNUMBER(VALUE(_xlfn.TEXTBEFORE(B179," "))),_xlfn.XLOOKUP(VALUE(_xlfn.TEXTBEFORE(B179," ")),Legend!$B$11:$B$26,Legend!$A$11:$A$26,"NOT FOUND",0,1),_xlfn.TEXTBEFORE(B179," ")))</f>
        <v/>
      </c>
      <c r="D179" s="3" t="str">
        <f t="shared" si="2"/>
        <v/>
      </c>
      <c r="E179" s="159" t="str">
        <f>IF(C179="","",_xlfn.XLOOKUP(C179,Legend!$A$10:$A$26,Legend!$C$10:$C$26,"NOT FOUND",0,1))</f>
        <v/>
      </c>
      <c r="F179" s="160" t="str">
        <f>IF(C179="","",_xlfn.XLOOKUP(D179,Legend!$A$29:$A$118,Legend!$B$29:$B$118,"NOT FOUND",0,1))</f>
        <v/>
      </c>
      <c r="G179" s="268" t="str">
        <f>IF(C179="","",_xlfn.XLOOKUP(D179,Legend!$A$29:$A$118,Legend!$C$29:$C$118,"NOT FOUND",0,1))</f>
        <v/>
      </c>
    </row>
    <row r="180" spans="1:7" x14ac:dyDescent="0.2">
      <c r="A180" s="3">
        <v>1</v>
      </c>
      <c r="C180" s="3" t="str">
        <f>IF(B180="","",IF(ISNUMBER(VALUE(_xlfn.TEXTBEFORE(B180," "))),_xlfn.XLOOKUP(VALUE(_xlfn.TEXTBEFORE(B180," ")),Legend!$B$11:$B$26,Legend!$A$11:$A$26,"NOT FOUND",0,1),_xlfn.TEXTBEFORE(B180," ")))</f>
        <v/>
      </c>
      <c r="D180" s="3" t="str">
        <f t="shared" si="2"/>
        <v/>
      </c>
      <c r="E180" s="159" t="str">
        <f>IF(C180="","",_xlfn.XLOOKUP(C180,Legend!$A$10:$A$26,Legend!$C$10:$C$26,"NOT FOUND",0,1))</f>
        <v/>
      </c>
      <c r="F180" s="160" t="str">
        <f>IF(C180="","",_xlfn.XLOOKUP(D180,Legend!$A$29:$A$118,Legend!$B$29:$B$118,"NOT FOUND",0,1))</f>
        <v/>
      </c>
      <c r="G180" s="268" t="str">
        <f>IF(C180="","",_xlfn.XLOOKUP(D180,Legend!$A$29:$A$118,Legend!$C$29:$C$118,"NOT FOUND",0,1))</f>
        <v/>
      </c>
    </row>
    <row r="181" spans="1:7" x14ac:dyDescent="0.2">
      <c r="A181" s="3">
        <v>1</v>
      </c>
      <c r="C181" s="3" t="str">
        <f>IF(B181="","",IF(ISNUMBER(VALUE(_xlfn.TEXTBEFORE(B181," "))),_xlfn.XLOOKUP(VALUE(_xlfn.TEXTBEFORE(B181," ")),Legend!$B$11:$B$26,Legend!$A$11:$A$26,"NOT FOUND",0,1),_xlfn.TEXTBEFORE(B181," ")))</f>
        <v/>
      </c>
      <c r="D181" s="3" t="str">
        <f t="shared" si="2"/>
        <v/>
      </c>
      <c r="E181" s="159" t="str">
        <f>IF(C181="","",_xlfn.XLOOKUP(C181,Legend!$A$10:$A$26,Legend!$C$10:$C$26,"NOT FOUND",0,1))</f>
        <v/>
      </c>
      <c r="F181" s="160" t="str">
        <f>IF(C181="","",_xlfn.XLOOKUP(D181,Legend!$A$29:$A$118,Legend!$B$29:$B$118,"NOT FOUND",0,1))</f>
        <v/>
      </c>
      <c r="G181" s="268" t="str">
        <f>IF(C181="","",_xlfn.XLOOKUP(D181,Legend!$A$29:$A$118,Legend!$C$29:$C$118,"NOT FOUND",0,1))</f>
        <v/>
      </c>
    </row>
    <row r="182" spans="1:7" x14ac:dyDescent="0.2">
      <c r="A182" s="3">
        <v>1</v>
      </c>
      <c r="C182" s="3" t="str">
        <f>IF(B182="","",IF(ISNUMBER(VALUE(_xlfn.TEXTBEFORE(B182," "))),_xlfn.XLOOKUP(VALUE(_xlfn.TEXTBEFORE(B182," ")),Legend!$B$11:$B$26,Legend!$A$11:$A$26,"NOT FOUND",0,1),_xlfn.TEXTBEFORE(B182," ")))</f>
        <v/>
      </c>
      <c r="D182" s="3" t="str">
        <f t="shared" si="2"/>
        <v/>
      </c>
      <c r="E182" s="159" t="str">
        <f>IF(C182="","",_xlfn.XLOOKUP(C182,Legend!$A$10:$A$26,Legend!$C$10:$C$26,"NOT FOUND",0,1))</f>
        <v/>
      </c>
      <c r="F182" s="160" t="str">
        <f>IF(C182="","",_xlfn.XLOOKUP(D182,Legend!$A$29:$A$118,Legend!$B$29:$B$118,"NOT FOUND",0,1))</f>
        <v/>
      </c>
      <c r="G182" s="268" t="str">
        <f>IF(C182="","",_xlfn.XLOOKUP(D182,Legend!$A$29:$A$118,Legend!$C$29:$C$118,"NOT FOUND",0,1))</f>
        <v/>
      </c>
    </row>
    <row r="183" spans="1:7" x14ac:dyDescent="0.2">
      <c r="A183" s="3">
        <v>1</v>
      </c>
      <c r="C183" s="3" t="str">
        <f>IF(B183="","",IF(ISNUMBER(VALUE(_xlfn.TEXTBEFORE(B183," "))),_xlfn.XLOOKUP(VALUE(_xlfn.TEXTBEFORE(B183," ")),Legend!$B$11:$B$26,Legend!$A$11:$A$26,"NOT FOUND",0,1),_xlfn.TEXTBEFORE(B183," ")))</f>
        <v/>
      </c>
      <c r="D183" s="3" t="str">
        <f t="shared" si="2"/>
        <v/>
      </c>
      <c r="E183" s="159" t="str">
        <f>IF(C183="","",_xlfn.XLOOKUP(C183,Legend!$A$10:$A$26,Legend!$C$10:$C$26,"NOT FOUND",0,1))</f>
        <v/>
      </c>
      <c r="F183" s="160" t="str">
        <f>IF(C183="","",_xlfn.XLOOKUP(D183,Legend!$A$29:$A$118,Legend!$B$29:$B$118,"NOT FOUND",0,1))</f>
        <v/>
      </c>
      <c r="G183" s="268" t="str">
        <f>IF(C183="","",_xlfn.XLOOKUP(D183,Legend!$A$29:$A$118,Legend!$C$29:$C$118,"NOT FOUND",0,1))</f>
        <v/>
      </c>
    </row>
    <row r="184" spans="1:7" x14ac:dyDescent="0.2">
      <c r="A184" s="3">
        <v>1</v>
      </c>
      <c r="C184" s="3" t="str">
        <f>IF(B184="","",IF(ISNUMBER(VALUE(_xlfn.TEXTBEFORE(B184," "))),_xlfn.XLOOKUP(VALUE(_xlfn.TEXTBEFORE(B184," ")),Legend!$B$11:$B$26,Legend!$A$11:$A$26,"NOT FOUND",0,1),_xlfn.TEXTBEFORE(B184," ")))</f>
        <v/>
      </c>
      <c r="D184" s="3" t="str">
        <f t="shared" si="2"/>
        <v/>
      </c>
      <c r="E184" s="159" t="str">
        <f>IF(C184="","",_xlfn.XLOOKUP(C184,Legend!$A$10:$A$26,Legend!$C$10:$C$26,"NOT FOUND",0,1))</f>
        <v/>
      </c>
      <c r="F184" s="160" t="str">
        <f>IF(C184="","",_xlfn.XLOOKUP(D184,Legend!$A$29:$A$118,Legend!$B$29:$B$118,"NOT FOUND",0,1))</f>
        <v/>
      </c>
      <c r="G184" s="268" t="str">
        <f>IF(C184="","",_xlfn.XLOOKUP(D184,Legend!$A$29:$A$118,Legend!$C$29:$C$118,"NOT FOUND",0,1))</f>
        <v/>
      </c>
    </row>
    <row r="185" spans="1:7" x14ac:dyDescent="0.2">
      <c r="A185" s="3">
        <v>1</v>
      </c>
      <c r="C185" s="3" t="str">
        <f>IF(B185="","",IF(ISNUMBER(VALUE(_xlfn.TEXTBEFORE(B185," "))),_xlfn.XLOOKUP(VALUE(_xlfn.TEXTBEFORE(B185," ")),Legend!$B$11:$B$26,Legend!$A$11:$A$26,"NOT FOUND",0,1),_xlfn.TEXTBEFORE(B185," ")))</f>
        <v/>
      </c>
      <c r="D185" s="3" t="str">
        <f t="shared" si="2"/>
        <v/>
      </c>
      <c r="E185" s="159" t="str">
        <f>IF(C185="","",_xlfn.XLOOKUP(C185,Legend!$A$10:$A$26,Legend!$C$10:$C$26,"NOT FOUND",0,1))</f>
        <v/>
      </c>
      <c r="F185" s="160" t="str">
        <f>IF(C185="","",_xlfn.XLOOKUP(D185,Legend!$A$29:$A$118,Legend!$B$29:$B$118,"NOT FOUND",0,1))</f>
        <v/>
      </c>
      <c r="G185" s="268" t="str">
        <f>IF(C185="","",_xlfn.XLOOKUP(D185,Legend!$A$29:$A$118,Legend!$C$29:$C$118,"NOT FOUND",0,1))</f>
        <v/>
      </c>
    </row>
    <row r="186" spans="1:7" x14ac:dyDescent="0.2">
      <c r="A186" s="3">
        <v>1</v>
      </c>
      <c r="C186" s="3" t="str">
        <f>IF(B186="","",IF(ISNUMBER(VALUE(_xlfn.TEXTBEFORE(B186," "))),_xlfn.XLOOKUP(VALUE(_xlfn.TEXTBEFORE(B186," ")),Legend!$B$11:$B$26,Legend!$A$11:$A$26,"NOT FOUND",0,1),_xlfn.TEXTBEFORE(B186," ")))</f>
        <v/>
      </c>
      <c r="D186" s="3" t="str">
        <f t="shared" si="2"/>
        <v/>
      </c>
      <c r="E186" s="159" t="str">
        <f>IF(C186="","",_xlfn.XLOOKUP(C186,Legend!$A$10:$A$26,Legend!$C$10:$C$26,"NOT FOUND",0,1))</f>
        <v/>
      </c>
      <c r="F186" s="160" t="str">
        <f>IF(C186="","",_xlfn.XLOOKUP(D186,Legend!$A$29:$A$118,Legend!$B$29:$B$118,"NOT FOUND",0,1))</f>
        <v/>
      </c>
      <c r="G186" s="268" t="str">
        <f>IF(C186="","",_xlfn.XLOOKUP(D186,Legend!$A$29:$A$118,Legend!$C$29:$C$118,"NOT FOUND",0,1))</f>
        <v/>
      </c>
    </row>
    <row r="187" spans="1:7" x14ac:dyDescent="0.2">
      <c r="A187" s="3">
        <v>1</v>
      </c>
      <c r="C187" s="3" t="str">
        <f>IF(B187="","",IF(ISNUMBER(VALUE(_xlfn.TEXTBEFORE(B187," "))),_xlfn.XLOOKUP(VALUE(_xlfn.TEXTBEFORE(B187," ")),Legend!$B$11:$B$26,Legend!$A$11:$A$26,"NOT FOUND",0,1),_xlfn.TEXTBEFORE(B187," ")))</f>
        <v/>
      </c>
      <c r="D187" s="3" t="str">
        <f t="shared" si="2"/>
        <v/>
      </c>
      <c r="E187" s="159" t="str">
        <f>IF(C187="","",_xlfn.XLOOKUP(C187,Legend!$A$10:$A$26,Legend!$C$10:$C$26,"NOT FOUND",0,1))</f>
        <v/>
      </c>
      <c r="F187" s="160" t="str">
        <f>IF(C187="","",_xlfn.XLOOKUP(D187,Legend!$A$29:$A$118,Legend!$B$29:$B$118,"NOT FOUND",0,1))</f>
        <v/>
      </c>
      <c r="G187" s="268" t="str">
        <f>IF(C187="","",_xlfn.XLOOKUP(D187,Legend!$A$29:$A$118,Legend!$C$29:$C$118,"NOT FOUND",0,1))</f>
        <v/>
      </c>
    </row>
    <row r="188" spans="1:7" x14ac:dyDescent="0.2">
      <c r="A188" s="3">
        <v>1</v>
      </c>
      <c r="C188" s="3" t="str">
        <f>IF(B188="","",IF(ISNUMBER(VALUE(_xlfn.TEXTBEFORE(B188," "))),_xlfn.XLOOKUP(VALUE(_xlfn.TEXTBEFORE(B188," ")),Legend!$B$11:$B$26,Legend!$A$11:$A$26,"NOT FOUND",0,1),_xlfn.TEXTBEFORE(B188," ")))</f>
        <v/>
      </c>
      <c r="D188" s="3" t="str">
        <f t="shared" si="2"/>
        <v/>
      </c>
      <c r="E188" s="159" t="str">
        <f>IF(C188="","",_xlfn.XLOOKUP(C188,Legend!$A$10:$A$26,Legend!$C$10:$C$26,"NOT FOUND",0,1))</f>
        <v/>
      </c>
      <c r="F188" s="160" t="str">
        <f>IF(C188="","",_xlfn.XLOOKUP(D188,Legend!$A$29:$A$118,Legend!$B$29:$B$118,"NOT FOUND",0,1))</f>
        <v/>
      </c>
      <c r="G188" s="268" t="str">
        <f>IF(C188="","",_xlfn.XLOOKUP(D188,Legend!$A$29:$A$118,Legend!$C$29:$C$118,"NOT FOUND",0,1))</f>
        <v/>
      </c>
    </row>
    <row r="189" spans="1:7" x14ac:dyDescent="0.2">
      <c r="A189" s="3">
        <v>1</v>
      </c>
      <c r="C189" s="3" t="str">
        <f>IF(B189="","",IF(ISNUMBER(VALUE(_xlfn.TEXTBEFORE(B189," "))),_xlfn.XLOOKUP(VALUE(_xlfn.TEXTBEFORE(B189," ")),Legend!$B$11:$B$26,Legend!$A$11:$A$26,"NOT FOUND",0,1),_xlfn.TEXTBEFORE(B189," ")))</f>
        <v/>
      </c>
      <c r="D189" s="3" t="str">
        <f t="shared" si="2"/>
        <v/>
      </c>
      <c r="E189" s="159" t="str">
        <f>IF(C189="","",_xlfn.XLOOKUP(C189,Legend!$A$10:$A$26,Legend!$C$10:$C$26,"NOT FOUND",0,1))</f>
        <v/>
      </c>
      <c r="F189" s="160" t="str">
        <f>IF(C189="","",_xlfn.XLOOKUP(D189,Legend!$A$29:$A$118,Legend!$B$29:$B$118,"NOT FOUND",0,1))</f>
        <v/>
      </c>
      <c r="G189" s="268" t="str">
        <f>IF(C189="","",_xlfn.XLOOKUP(D189,Legend!$A$29:$A$118,Legend!$C$29:$C$118,"NOT FOUND",0,1))</f>
        <v/>
      </c>
    </row>
    <row r="190" spans="1:7" x14ac:dyDescent="0.2">
      <c r="A190" s="3">
        <v>1</v>
      </c>
      <c r="C190" s="3" t="str">
        <f>IF(B190="","",IF(ISNUMBER(VALUE(_xlfn.TEXTBEFORE(B190," "))),_xlfn.XLOOKUP(VALUE(_xlfn.TEXTBEFORE(B190," ")),Legend!$B$11:$B$26,Legend!$A$11:$A$26,"NOT FOUND",0,1),_xlfn.TEXTBEFORE(B190," ")))</f>
        <v/>
      </c>
      <c r="D190" s="3" t="str">
        <f t="shared" si="2"/>
        <v/>
      </c>
      <c r="E190" s="159" t="str">
        <f>IF(C190="","",_xlfn.XLOOKUP(C190,Legend!$A$10:$A$26,Legend!$C$10:$C$26,"NOT FOUND",0,1))</f>
        <v/>
      </c>
      <c r="F190" s="160" t="str">
        <f>IF(C190="","",_xlfn.XLOOKUP(D190,Legend!$A$29:$A$118,Legend!$B$29:$B$118,"NOT FOUND",0,1))</f>
        <v/>
      </c>
      <c r="G190" s="268" t="str">
        <f>IF(C190="","",_xlfn.XLOOKUP(D190,Legend!$A$29:$A$118,Legend!$C$29:$C$118,"NOT FOUND",0,1))</f>
        <v/>
      </c>
    </row>
    <row r="191" spans="1:7" x14ac:dyDescent="0.2">
      <c r="A191" s="3">
        <v>1</v>
      </c>
      <c r="C191" s="3" t="str">
        <f>IF(B191="","",IF(ISNUMBER(VALUE(_xlfn.TEXTBEFORE(B191," "))),_xlfn.XLOOKUP(VALUE(_xlfn.TEXTBEFORE(B191," ")),Legend!$B$11:$B$26,Legend!$A$11:$A$26,"NOT FOUND",0,1),_xlfn.TEXTBEFORE(B191," ")))</f>
        <v/>
      </c>
      <c r="D191" s="3" t="str">
        <f t="shared" ref="D191:D254" si="3">IF(B191="","",_xlfn.TEXTAFTER(B191," "))</f>
        <v/>
      </c>
      <c r="E191" s="159" t="str">
        <f>IF(C191="","",_xlfn.XLOOKUP(C191,Legend!$A$10:$A$26,Legend!$C$10:$C$26,"NOT FOUND",0,1))</f>
        <v/>
      </c>
      <c r="F191" s="160" t="str">
        <f>IF(C191="","",_xlfn.XLOOKUP(D191,Legend!$A$29:$A$118,Legend!$B$29:$B$118,"NOT FOUND",0,1))</f>
        <v/>
      </c>
      <c r="G191" s="268" t="str">
        <f>IF(C191="","",_xlfn.XLOOKUP(D191,Legend!$A$29:$A$118,Legend!$C$29:$C$118,"NOT FOUND",0,1))</f>
        <v/>
      </c>
    </row>
    <row r="192" spans="1:7" x14ac:dyDescent="0.2">
      <c r="A192" s="3">
        <v>1</v>
      </c>
      <c r="C192" s="3" t="str">
        <f>IF(B192="","",IF(ISNUMBER(VALUE(_xlfn.TEXTBEFORE(B192," "))),_xlfn.XLOOKUP(VALUE(_xlfn.TEXTBEFORE(B192," ")),Legend!$B$11:$B$26,Legend!$A$11:$A$26,"NOT FOUND",0,1),_xlfn.TEXTBEFORE(B192," ")))</f>
        <v/>
      </c>
      <c r="D192" s="3" t="str">
        <f t="shared" si="3"/>
        <v/>
      </c>
      <c r="E192" s="159" t="str">
        <f>IF(C192="","",_xlfn.XLOOKUP(C192,Legend!$A$10:$A$26,Legend!$C$10:$C$26,"NOT FOUND",0,1))</f>
        <v/>
      </c>
      <c r="F192" s="160" t="str">
        <f>IF(C192="","",_xlfn.XLOOKUP(D192,Legend!$A$29:$A$118,Legend!$B$29:$B$118,"NOT FOUND",0,1))</f>
        <v/>
      </c>
      <c r="G192" s="268" t="str">
        <f>IF(C192="","",_xlfn.XLOOKUP(D192,Legend!$A$29:$A$118,Legend!$C$29:$C$118,"NOT FOUND",0,1))</f>
        <v/>
      </c>
    </row>
    <row r="193" spans="1:7" x14ac:dyDescent="0.2">
      <c r="A193" s="3">
        <v>1</v>
      </c>
      <c r="C193" s="3" t="str">
        <f>IF(B193="","",IF(ISNUMBER(VALUE(_xlfn.TEXTBEFORE(B193," "))),_xlfn.XLOOKUP(VALUE(_xlfn.TEXTBEFORE(B193," ")),Legend!$B$11:$B$26,Legend!$A$11:$A$26,"NOT FOUND",0,1),_xlfn.TEXTBEFORE(B193," ")))</f>
        <v/>
      </c>
      <c r="D193" s="3" t="str">
        <f t="shared" si="3"/>
        <v/>
      </c>
      <c r="E193" s="159" t="str">
        <f>IF(C193="","",_xlfn.XLOOKUP(C193,Legend!$A$10:$A$26,Legend!$C$10:$C$26,"NOT FOUND",0,1))</f>
        <v/>
      </c>
      <c r="F193" s="160" t="str">
        <f>IF(C193="","",_xlfn.XLOOKUP(D193,Legend!$A$29:$A$118,Legend!$B$29:$B$118,"NOT FOUND",0,1))</f>
        <v/>
      </c>
      <c r="G193" s="268" t="str">
        <f>IF(C193="","",_xlfn.XLOOKUP(D193,Legend!$A$29:$A$118,Legend!$C$29:$C$118,"NOT FOUND",0,1))</f>
        <v/>
      </c>
    </row>
    <row r="194" spans="1:7" x14ac:dyDescent="0.2">
      <c r="A194" s="3">
        <v>1</v>
      </c>
      <c r="C194" s="3" t="str">
        <f>IF(B194="","",IF(ISNUMBER(VALUE(_xlfn.TEXTBEFORE(B194," "))),_xlfn.XLOOKUP(VALUE(_xlfn.TEXTBEFORE(B194," ")),Legend!$B$11:$B$26,Legend!$A$11:$A$26,"NOT FOUND",0,1),_xlfn.TEXTBEFORE(B194," ")))</f>
        <v/>
      </c>
      <c r="D194" s="3" t="str">
        <f t="shared" si="3"/>
        <v/>
      </c>
      <c r="E194" s="159" t="str">
        <f>IF(C194="","",_xlfn.XLOOKUP(C194,Legend!$A$10:$A$26,Legend!$C$10:$C$26,"NOT FOUND",0,1))</f>
        <v/>
      </c>
      <c r="F194" s="160" t="str">
        <f>IF(C194="","",_xlfn.XLOOKUP(D194,Legend!$A$29:$A$118,Legend!$B$29:$B$118,"NOT FOUND",0,1))</f>
        <v/>
      </c>
      <c r="G194" s="268" t="str">
        <f>IF(C194="","",_xlfn.XLOOKUP(D194,Legend!$A$29:$A$118,Legend!$C$29:$C$118,"NOT FOUND",0,1))</f>
        <v/>
      </c>
    </row>
    <row r="195" spans="1:7" x14ac:dyDescent="0.2">
      <c r="A195" s="3">
        <v>1</v>
      </c>
      <c r="C195" s="3" t="str">
        <f>IF(B195="","",IF(ISNUMBER(VALUE(_xlfn.TEXTBEFORE(B195," "))),_xlfn.XLOOKUP(VALUE(_xlfn.TEXTBEFORE(B195," ")),Legend!$B$11:$B$26,Legend!$A$11:$A$26,"NOT FOUND",0,1),_xlfn.TEXTBEFORE(B195," ")))</f>
        <v/>
      </c>
      <c r="D195" s="3" t="str">
        <f t="shared" si="3"/>
        <v/>
      </c>
      <c r="E195" s="159" t="str">
        <f>IF(C195="","",_xlfn.XLOOKUP(C195,Legend!$A$10:$A$26,Legend!$C$10:$C$26,"NOT FOUND",0,1))</f>
        <v/>
      </c>
      <c r="F195" s="160" t="str">
        <f>IF(C195="","",_xlfn.XLOOKUP(D195,Legend!$A$29:$A$118,Legend!$B$29:$B$118,"NOT FOUND",0,1))</f>
        <v/>
      </c>
      <c r="G195" s="268" t="str">
        <f>IF(C195="","",_xlfn.XLOOKUP(D195,Legend!$A$29:$A$118,Legend!$C$29:$C$118,"NOT FOUND",0,1))</f>
        <v/>
      </c>
    </row>
    <row r="196" spans="1:7" x14ac:dyDescent="0.2">
      <c r="A196" s="3">
        <v>1</v>
      </c>
      <c r="C196" s="3" t="str">
        <f>IF(B196="","",IF(ISNUMBER(VALUE(_xlfn.TEXTBEFORE(B196," "))),_xlfn.XLOOKUP(VALUE(_xlfn.TEXTBEFORE(B196," ")),Legend!$B$11:$B$26,Legend!$A$11:$A$26,"NOT FOUND",0,1),_xlfn.TEXTBEFORE(B196," ")))</f>
        <v/>
      </c>
      <c r="D196" s="3" t="str">
        <f t="shared" si="3"/>
        <v/>
      </c>
      <c r="E196" s="159" t="str">
        <f>IF(C196="","",_xlfn.XLOOKUP(C196,Legend!$A$10:$A$26,Legend!$C$10:$C$26,"NOT FOUND",0,1))</f>
        <v/>
      </c>
      <c r="F196" s="160" t="str">
        <f>IF(C196="","",_xlfn.XLOOKUP(D196,Legend!$A$29:$A$118,Legend!$B$29:$B$118,"NOT FOUND",0,1))</f>
        <v/>
      </c>
      <c r="G196" s="268" t="str">
        <f>IF(C196="","",_xlfn.XLOOKUP(D196,Legend!$A$29:$A$118,Legend!$C$29:$C$118,"NOT FOUND",0,1))</f>
        <v/>
      </c>
    </row>
    <row r="197" spans="1:7" x14ac:dyDescent="0.2">
      <c r="A197" s="3">
        <v>1</v>
      </c>
      <c r="C197" s="3" t="str">
        <f>IF(B197="","",IF(ISNUMBER(VALUE(_xlfn.TEXTBEFORE(B197," "))),_xlfn.XLOOKUP(VALUE(_xlfn.TEXTBEFORE(B197," ")),Legend!$B$11:$B$26,Legend!$A$11:$A$26,"NOT FOUND",0,1),_xlfn.TEXTBEFORE(B197," ")))</f>
        <v/>
      </c>
      <c r="D197" s="3" t="str">
        <f t="shared" si="3"/>
        <v/>
      </c>
      <c r="E197" s="159" t="str">
        <f>IF(C197="","",_xlfn.XLOOKUP(C197,Legend!$A$10:$A$26,Legend!$C$10:$C$26,"NOT FOUND",0,1))</f>
        <v/>
      </c>
      <c r="F197" s="160" t="str">
        <f>IF(C197="","",_xlfn.XLOOKUP(D197,Legend!$A$29:$A$118,Legend!$B$29:$B$118,"NOT FOUND",0,1))</f>
        <v/>
      </c>
      <c r="G197" s="268" t="str">
        <f>IF(C197="","",_xlfn.XLOOKUP(D197,Legend!$A$29:$A$118,Legend!$C$29:$C$118,"NOT FOUND",0,1))</f>
        <v/>
      </c>
    </row>
    <row r="198" spans="1:7" x14ac:dyDescent="0.2">
      <c r="A198" s="3">
        <v>1</v>
      </c>
      <c r="C198" s="3" t="str">
        <f>IF(B198="","",IF(ISNUMBER(VALUE(_xlfn.TEXTBEFORE(B198," "))),_xlfn.XLOOKUP(VALUE(_xlfn.TEXTBEFORE(B198," ")),Legend!$B$11:$B$26,Legend!$A$11:$A$26,"NOT FOUND",0,1),_xlfn.TEXTBEFORE(B198," ")))</f>
        <v/>
      </c>
      <c r="D198" s="3" t="str">
        <f t="shared" si="3"/>
        <v/>
      </c>
      <c r="E198" s="159" t="str">
        <f>IF(C198="","",_xlfn.XLOOKUP(C198,Legend!$A$10:$A$26,Legend!$C$10:$C$26,"NOT FOUND",0,1))</f>
        <v/>
      </c>
      <c r="F198" s="160" t="str">
        <f>IF(C198="","",_xlfn.XLOOKUP(D198,Legend!$A$29:$A$118,Legend!$B$29:$B$118,"NOT FOUND",0,1))</f>
        <v/>
      </c>
      <c r="G198" s="268" t="str">
        <f>IF(C198="","",_xlfn.XLOOKUP(D198,Legend!$A$29:$A$118,Legend!$C$29:$C$118,"NOT FOUND",0,1))</f>
        <v/>
      </c>
    </row>
    <row r="199" spans="1:7" x14ac:dyDescent="0.2">
      <c r="A199" s="3">
        <v>1</v>
      </c>
      <c r="C199" s="3" t="str">
        <f>IF(B199="","",IF(ISNUMBER(VALUE(_xlfn.TEXTBEFORE(B199," "))),_xlfn.XLOOKUP(VALUE(_xlfn.TEXTBEFORE(B199," ")),Legend!$B$11:$B$26,Legend!$A$11:$A$26,"NOT FOUND",0,1),_xlfn.TEXTBEFORE(B199," ")))</f>
        <v/>
      </c>
      <c r="D199" s="3" t="str">
        <f t="shared" si="3"/>
        <v/>
      </c>
      <c r="E199" s="159" t="str">
        <f>IF(C199="","",_xlfn.XLOOKUP(C199,Legend!$A$10:$A$26,Legend!$C$10:$C$26,"NOT FOUND",0,1))</f>
        <v/>
      </c>
      <c r="F199" s="160" t="str">
        <f>IF(C199="","",_xlfn.XLOOKUP(D199,Legend!$A$29:$A$118,Legend!$B$29:$B$118,"NOT FOUND",0,1))</f>
        <v/>
      </c>
      <c r="G199" s="268" t="str">
        <f>IF(C199="","",_xlfn.XLOOKUP(D199,Legend!$A$29:$A$118,Legend!$C$29:$C$118,"NOT FOUND",0,1))</f>
        <v/>
      </c>
    </row>
    <row r="200" spans="1:7" x14ac:dyDescent="0.2">
      <c r="A200" s="3">
        <v>1</v>
      </c>
      <c r="C200" s="3" t="str">
        <f>IF(B200="","",IF(ISNUMBER(VALUE(_xlfn.TEXTBEFORE(B200," "))),_xlfn.XLOOKUP(VALUE(_xlfn.TEXTBEFORE(B200," ")),Legend!$B$11:$B$26,Legend!$A$11:$A$26,"NOT FOUND",0,1),_xlfn.TEXTBEFORE(B200," ")))</f>
        <v/>
      </c>
      <c r="D200" s="3" t="str">
        <f t="shared" si="3"/>
        <v/>
      </c>
      <c r="E200" s="159" t="str">
        <f>IF(C200="","",_xlfn.XLOOKUP(C200,Legend!$A$10:$A$26,Legend!$C$10:$C$26,"NOT FOUND",0,1))</f>
        <v/>
      </c>
      <c r="F200" s="160" t="str">
        <f>IF(C200="","",_xlfn.XLOOKUP(D200,Legend!$A$29:$A$118,Legend!$B$29:$B$118,"NOT FOUND",0,1))</f>
        <v/>
      </c>
      <c r="G200" s="268" t="str">
        <f>IF(C200="","",_xlfn.XLOOKUP(D200,Legend!$A$29:$A$118,Legend!$C$29:$C$118,"NOT FOUND",0,1))</f>
        <v/>
      </c>
    </row>
    <row r="201" spans="1:7" x14ac:dyDescent="0.2">
      <c r="A201" s="3">
        <v>1</v>
      </c>
      <c r="C201" s="3" t="str">
        <f>IF(B201="","",IF(ISNUMBER(VALUE(_xlfn.TEXTBEFORE(B201," "))),_xlfn.XLOOKUP(VALUE(_xlfn.TEXTBEFORE(B201," ")),Legend!$B$11:$B$26,Legend!$A$11:$A$26,"NOT FOUND",0,1),_xlfn.TEXTBEFORE(B201," ")))</f>
        <v/>
      </c>
      <c r="D201" s="3" t="str">
        <f t="shared" si="3"/>
        <v/>
      </c>
      <c r="E201" s="159" t="str">
        <f>IF(C201="","",_xlfn.XLOOKUP(C201,Legend!$A$10:$A$26,Legend!$C$10:$C$26,"NOT FOUND",0,1))</f>
        <v/>
      </c>
      <c r="F201" s="160" t="str">
        <f>IF(C201="","",_xlfn.XLOOKUP(D201,Legend!$A$29:$A$118,Legend!$B$29:$B$118,"NOT FOUND",0,1))</f>
        <v/>
      </c>
      <c r="G201" s="268" t="str">
        <f>IF(C201="","",_xlfn.XLOOKUP(D201,Legend!$A$29:$A$118,Legend!$C$29:$C$118,"NOT FOUND",0,1))</f>
        <v/>
      </c>
    </row>
    <row r="202" spans="1:7" x14ac:dyDescent="0.2">
      <c r="A202" s="3">
        <v>1</v>
      </c>
      <c r="C202" s="3" t="str">
        <f>IF(B202="","",IF(ISNUMBER(VALUE(_xlfn.TEXTBEFORE(B202," "))),_xlfn.XLOOKUP(VALUE(_xlfn.TEXTBEFORE(B202," ")),Legend!$B$11:$B$26,Legend!$A$11:$A$26,"NOT FOUND",0,1),_xlfn.TEXTBEFORE(B202," ")))</f>
        <v/>
      </c>
      <c r="D202" s="3" t="str">
        <f t="shared" si="3"/>
        <v/>
      </c>
      <c r="E202" s="159" t="str">
        <f>IF(C202="","",_xlfn.XLOOKUP(C202,Legend!$A$10:$A$26,Legend!$C$10:$C$26,"NOT FOUND",0,1))</f>
        <v/>
      </c>
      <c r="F202" s="160" t="str">
        <f>IF(C202="","",_xlfn.XLOOKUP(D202,Legend!$A$29:$A$118,Legend!$B$29:$B$118,"NOT FOUND",0,1))</f>
        <v/>
      </c>
      <c r="G202" s="268" t="str">
        <f>IF(C202="","",_xlfn.XLOOKUP(D202,Legend!$A$29:$A$118,Legend!$C$29:$C$118,"NOT FOUND",0,1))</f>
        <v/>
      </c>
    </row>
    <row r="203" spans="1:7" x14ac:dyDescent="0.2">
      <c r="A203" s="3">
        <v>1</v>
      </c>
      <c r="C203" s="3" t="str">
        <f>IF(B203="","",IF(ISNUMBER(VALUE(_xlfn.TEXTBEFORE(B203," "))),_xlfn.XLOOKUP(VALUE(_xlfn.TEXTBEFORE(B203," ")),Legend!$B$11:$B$26,Legend!$A$11:$A$26,"NOT FOUND",0,1),_xlfn.TEXTBEFORE(B203," ")))</f>
        <v/>
      </c>
      <c r="D203" s="3" t="str">
        <f t="shared" si="3"/>
        <v/>
      </c>
      <c r="E203" s="159" t="str">
        <f>IF(C203="","",_xlfn.XLOOKUP(C203,Legend!$A$10:$A$26,Legend!$C$10:$C$26,"NOT FOUND",0,1))</f>
        <v/>
      </c>
      <c r="F203" s="160" t="str">
        <f>IF(C203="","",_xlfn.XLOOKUP(D203,Legend!$A$29:$A$118,Legend!$B$29:$B$118,"NOT FOUND",0,1))</f>
        <v/>
      </c>
      <c r="G203" s="268" t="str">
        <f>IF(C203="","",_xlfn.XLOOKUP(D203,Legend!$A$29:$A$118,Legend!$C$29:$C$118,"NOT FOUND",0,1))</f>
        <v/>
      </c>
    </row>
    <row r="204" spans="1:7" x14ac:dyDescent="0.2">
      <c r="A204" s="3">
        <v>1</v>
      </c>
      <c r="C204" s="3" t="str">
        <f>IF(B204="","",IF(ISNUMBER(VALUE(_xlfn.TEXTBEFORE(B204," "))),_xlfn.XLOOKUP(VALUE(_xlfn.TEXTBEFORE(B204," ")),Legend!$B$11:$B$26,Legend!$A$11:$A$26,"NOT FOUND",0,1),_xlfn.TEXTBEFORE(B204," ")))</f>
        <v/>
      </c>
      <c r="D204" s="3" t="str">
        <f t="shared" si="3"/>
        <v/>
      </c>
      <c r="E204" s="159" t="str">
        <f>IF(C204="","",_xlfn.XLOOKUP(C204,Legend!$A$10:$A$26,Legend!$C$10:$C$26,"NOT FOUND",0,1))</f>
        <v/>
      </c>
      <c r="F204" s="160" t="str">
        <f>IF(C204="","",_xlfn.XLOOKUP(D204,Legend!$A$29:$A$118,Legend!$B$29:$B$118,"NOT FOUND",0,1))</f>
        <v/>
      </c>
      <c r="G204" s="268" t="str">
        <f>IF(C204="","",_xlfn.XLOOKUP(D204,Legend!$A$29:$A$118,Legend!$C$29:$C$118,"NOT FOUND",0,1))</f>
        <v/>
      </c>
    </row>
    <row r="205" spans="1:7" x14ac:dyDescent="0.2">
      <c r="A205" s="3">
        <v>1</v>
      </c>
      <c r="C205" s="3" t="str">
        <f>IF(B205="","",IF(ISNUMBER(VALUE(_xlfn.TEXTBEFORE(B205," "))),_xlfn.XLOOKUP(VALUE(_xlfn.TEXTBEFORE(B205," ")),Legend!$B$11:$B$26,Legend!$A$11:$A$26,"NOT FOUND",0,1),_xlfn.TEXTBEFORE(B205," ")))</f>
        <v/>
      </c>
      <c r="D205" s="3" t="str">
        <f t="shared" si="3"/>
        <v/>
      </c>
      <c r="E205" s="159" t="str">
        <f>IF(C205="","",_xlfn.XLOOKUP(C205,Legend!$A$10:$A$26,Legend!$C$10:$C$26,"NOT FOUND",0,1))</f>
        <v/>
      </c>
      <c r="F205" s="160" t="str">
        <f>IF(C205="","",_xlfn.XLOOKUP(D205,Legend!$A$29:$A$118,Legend!$B$29:$B$118,"NOT FOUND",0,1))</f>
        <v/>
      </c>
      <c r="G205" s="268" t="str">
        <f>IF(C205="","",_xlfn.XLOOKUP(D205,Legend!$A$29:$A$118,Legend!$C$29:$C$118,"NOT FOUND",0,1))</f>
        <v/>
      </c>
    </row>
    <row r="206" spans="1:7" x14ac:dyDescent="0.2">
      <c r="A206" s="3">
        <v>1</v>
      </c>
      <c r="C206" s="3" t="str">
        <f>IF(B206="","",IF(ISNUMBER(VALUE(_xlfn.TEXTBEFORE(B206," "))),_xlfn.XLOOKUP(VALUE(_xlfn.TEXTBEFORE(B206," ")),Legend!$B$11:$B$26,Legend!$A$11:$A$26,"NOT FOUND",0,1),_xlfn.TEXTBEFORE(B206," ")))</f>
        <v/>
      </c>
      <c r="D206" s="3" t="str">
        <f t="shared" si="3"/>
        <v/>
      </c>
      <c r="E206" s="159" t="str">
        <f>IF(C206="","",_xlfn.XLOOKUP(C206,Legend!$A$10:$A$26,Legend!$C$10:$C$26,"NOT FOUND",0,1))</f>
        <v/>
      </c>
      <c r="F206" s="160" t="str">
        <f>IF(C206="","",_xlfn.XLOOKUP(D206,Legend!$A$29:$A$118,Legend!$B$29:$B$118,"NOT FOUND",0,1))</f>
        <v/>
      </c>
      <c r="G206" s="268" t="str">
        <f>IF(C206="","",_xlfn.XLOOKUP(D206,Legend!$A$29:$A$118,Legend!$C$29:$C$118,"NOT FOUND",0,1))</f>
        <v/>
      </c>
    </row>
    <row r="207" spans="1:7" x14ac:dyDescent="0.2">
      <c r="A207" s="3">
        <v>1</v>
      </c>
      <c r="C207" s="3" t="str">
        <f>IF(B207="","",IF(ISNUMBER(VALUE(_xlfn.TEXTBEFORE(B207," "))),_xlfn.XLOOKUP(VALUE(_xlfn.TEXTBEFORE(B207," ")),Legend!$B$11:$B$26,Legend!$A$11:$A$26,"NOT FOUND",0,1),_xlfn.TEXTBEFORE(B207," ")))</f>
        <v/>
      </c>
      <c r="D207" s="3" t="str">
        <f t="shared" si="3"/>
        <v/>
      </c>
      <c r="E207" s="159" t="str">
        <f>IF(C207="","",_xlfn.XLOOKUP(C207,Legend!$A$10:$A$26,Legend!$C$10:$C$26,"NOT FOUND",0,1))</f>
        <v/>
      </c>
      <c r="F207" s="160" t="str">
        <f>IF(C207="","",_xlfn.XLOOKUP(D207,Legend!$A$29:$A$118,Legend!$B$29:$B$118,"NOT FOUND",0,1))</f>
        <v/>
      </c>
      <c r="G207" s="268" t="str">
        <f>IF(C207="","",_xlfn.XLOOKUP(D207,Legend!$A$29:$A$118,Legend!$C$29:$C$118,"NOT FOUND",0,1))</f>
        <v/>
      </c>
    </row>
    <row r="208" spans="1:7" x14ac:dyDescent="0.2">
      <c r="A208" s="3">
        <v>1</v>
      </c>
      <c r="C208" s="3" t="str">
        <f>IF(B208="","",IF(ISNUMBER(VALUE(_xlfn.TEXTBEFORE(B208," "))),_xlfn.XLOOKUP(VALUE(_xlfn.TEXTBEFORE(B208," ")),Legend!$B$11:$B$26,Legend!$A$11:$A$26,"NOT FOUND",0,1),_xlfn.TEXTBEFORE(B208," ")))</f>
        <v/>
      </c>
      <c r="D208" s="3" t="str">
        <f t="shared" si="3"/>
        <v/>
      </c>
      <c r="E208" s="159" t="str">
        <f>IF(C208="","",_xlfn.XLOOKUP(C208,Legend!$A$10:$A$26,Legend!$C$10:$C$26,"NOT FOUND",0,1))</f>
        <v/>
      </c>
      <c r="F208" s="160" t="str">
        <f>IF(C208="","",_xlfn.XLOOKUP(D208,Legend!$A$29:$A$118,Legend!$B$29:$B$118,"NOT FOUND",0,1))</f>
        <v/>
      </c>
      <c r="G208" s="268" t="str">
        <f>IF(C208="","",_xlfn.XLOOKUP(D208,Legend!$A$29:$A$118,Legend!$C$29:$C$118,"NOT FOUND",0,1))</f>
        <v/>
      </c>
    </row>
    <row r="209" spans="1:7" x14ac:dyDescent="0.2">
      <c r="A209" s="3">
        <v>1</v>
      </c>
      <c r="C209" s="3" t="str">
        <f>IF(B209="","",IF(ISNUMBER(VALUE(_xlfn.TEXTBEFORE(B209," "))),_xlfn.XLOOKUP(VALUE(_xlfn.TEXTBEFORE(B209," ")),Legend!$B$11:$B$26,Legend!$A$11:$A$26,"NOT FOUND",0,1),_xlfn.TEXTBEFORE(B209," ")))</f>
        <v/>
      </c>
      <c r="D209" s="3" t="str">
        <f t="shared" si="3"/>
        <v/>
      </c>
      <c r="E209" s="159" t="str">
        <f>IF(C209="","",_xlfn.XLOOKUP(C209,Legend!$A$10:$A$26,Legend!$C$10:$C$26,"NOT FOUND",0,1))</f>
        <v/>
      </c>
      <c r="F209" s="160" t="str">
        <f>IF(C209="","",_xlfn.XLOOKUP(D209,Legend!$A$29:$A$118,Legend!$B$29:$B$118,"NOT FOUND",0,1))</f>
        <v/>
      </c>
      <c r="G209" s="268" t="str">
        <f>IF(C209="","",_xlfn.XLOOKUP(D209,Legend!$A$29:$A$118,Legend!$C$29:$C$118,"NOT FOUND",0,1))</f>
        <v/>
      </c>
    </row>
    <row r="210" spans="1:7" x14ac:dyDescent="0.2">
      <c r="A210" s="3">
        <v>1</v>
      </c>
      <c r="C210" s="3" t="str">
        <f>IF(B210="","",IF(ISNUMBER(VALUE(_xlfn.TEXTBEFORE(B210," "))),_xlfn.XLOOKUP(VALUE(_xlfn.TEXTBEFORE(B210," ")),Legend!$B$11:$B$26,Legend!$A$11:$A$26,"NOT FOUND",0,1),_xlfn.TEXTBEFORE(B210," ")))</f>
        <v/>
      </c>
      <c r="D210" s="3" t="str">
        <f t="shared" si="3"/>
        <v/>
      </c>
      <c r="E210" s="159" t="str">
        <f>IF(C210="","",_xlfn.XLOOKUP(C210,Legend!$A$10:$A$26,Legend!$C$10:$C$26,"NOT FOUND",0,1))</f>
        <v/>
      </c>
      <c r="F210" s="160" t="str">
        <f>IF(C210="","",_xlfn.XLOOKUP(D210,Legend!$A$29:$A$118,Legend!$B$29:$B$118,"NOT FOUND",0,1))</f>
        <v/>
      </c>
      <c r="G210" s="268" t="str">
        <f>IF(C210="","",_xlfn.XLOOKUP(D210,Legend!$A$29:$A$118,Legend!$C$29:$C$118,"NOT FOUND",0,1))</f>
        <v/>
      </c>
    </row>
    <row r="211" spans="1:7" x14ac:dyDescent="0.2">
      <c r="A211" s="3">
        <v>1</v>
      </c>
      <c r="C211" s="3" t="str">
        <f>IF(B211="","",IF(ISNUMBER(VALUE(_xlfn.TEXTBEFORE(B211," "))),_xlfn.XLOOKUP(VALUE(_xlfn.TEXTBEFORE(B211," ")),Legend!$B$11:$B$26,Legend!$A$11:$A$26,"NOT FOUND",0,1),_xlfn.TEXTBEFORE(B211," ")))</f>
        <v/>
      </c>
      <c r="D211" s="3" t="str">
        <f t="shared" si="3"/>
        <v/>
      </c>
      <c r="E211" s="159" t="str">
        <f>IF(C211="","",_xlfn.XLOOKUP(C211,Legend!$A$10:$A$26,Legend!$C$10:$C$26,"NOT FOUND",0,1))</f>
        <v/>
      </c>
      <c r="F211" s="160" t="str">
        <f>IF(C211="","",_xlfn.XLOOKUP(D211,Legend!$A$29:$A$118,Legend!$B$29:$B$118,"NOT FOUND",0,1))</f>
        <v/>
      </c>
      <c r="G211" s="268" t="str">
        <f>IF(C211="","",_xlfn.XLOOKUP(D211,Legend!$A$29:$A$118,Legend!$C$29:$C$118,"NOT FOUND",0,1))</f>
        <v/>
      </c>
    </row>
    <row r="212" spans="1:7" x14ac:dyDescent="0.2">
      <c r="A212" s="3">
        <v>1</v>
      </c>
      <c r="C212" s="3" t="str">
        <f>IF(B212="","",IF(ISNUMBER(VALUE(_xlfn.TEXTBEFORE(B212," "))),_xlfn.XLOOKUP(VALUE(_xlfn.TEXTBEFORE(B212," ")),Legend!$B$11:$B$26,Legend!$A$11:$A$26,"NOT FOUND",0,1),_xlfn.TEXTBEFORE(B212," ")))</f>
        <v/>
      </c>
      <c r="D212" s="3" t="str">
        <f t="shared" si="3"/>
        <v/>
      </c>
      <c r="E212" s="159" t="str">
        <f>IF(C212="","",_xlfn.XLOOKUP(C212,Legend!$A$10:$A$26,Legend!$C$10:$C$26,"NOT FOUND",0,1))</f>
        <v/>
      </c>
      <c r="F212" s="160" t="str">
        <f>IF(C212="","",_xlfn.XLOOKUP(D212,Legend!$A$29:$A$118,Legend!$B$29:$B$118,"NOT FOUND",0,1))</f>
        <v/>
      </c>
      <c r="G212" s="268" t="str">
        <f>IF(C212="","",_xlfn.XLOOKUP(D212,Legend!$A$29:$A$118,Legend!$C$29:$C$118,"NOT FOUND",0,1))</f>
        <v/>
      </c>
    </row>
    <row r="213" spans="1:7" x14ac:dyDescent="0.2">
      <c r="A213" s="3">
        <v>1</v>
      </c>
      <c r="C213" s="3" t="str">
        <f>IF(B213="","",IF(ISNUMBER(VALUE(_xlfn.TEXTBEFORE(B213," "))),_xlfn.XLOOKUP(VALUE(_xlfn.TEXTBEFORE(B213," ")),Legend!$B$11:$B$26,Legend!$A$11:$A$26,"NOT FOUND",0,1),_xlfn.TEXTBEFORE(B213," ")))</f>
        <v/>
      </c>
      <c r="D213" s="3" t="str">
        <f t="shared" si="3"/>
        <v/>
      </c>
      <c r="E213" s="159" t="str">
        <f>IF(C213="","",_xlfn.XLOOKUP(C213,Legend!$A$10:$A$26,Legend!$C$10:$C$26,"NOT FOUND",0,1))</f>
        <v/>
      </c>
      <c r="F213" s="160" t="str">
        <f>IF(C213="","",_xlfn.XLOOKUP(D213,Legend!$A$29:$A$118,Legend!$B$29:$B$118,"NOT FOUND",0,1))</f>
        <v/>
      </c>
      <c r="G213" s="268" t="str">
        <f>IF(C213="","",_xlfn.XLOOKUP(D213,Legend!$A$29:$A$118,Legend!$C$29:$C$118,"NOT FOUND",0,1))</f>
        <v/>
      </c>
    </row>
    <row r="214" spans="1:7" x14ac:dyDescent="0.2">
      <c r="A214" s="3">
        <v>1</v>
      </c>
      <c r="C214" s="3" t="str">
        <f>IF(B214="","",IF(ISNUMBER(VALUE(_xlfn.TEXTBEFORE(B214," "))),_xlfn.XLOOKUP(VALUE(_xlfn.TEXTBEFORE(B214," ")),Legend!$B$11:$B$26,Legend!$A$11:$A$26,"NOT FOUND",0,1),_xlfn.TEXTBEFORE(B214," ")))</f>
        <v/>
      </c>
      <c r="D214" s="3" t="str">
        <f t="shared" si="3"/>
        <v/>
      </c>
      <c r="E214" s="159" t="str">
        <f>IF(C214="","",_xlfn.XLOOKUP(C214,Legend!$A$10:$A$26,Legend!$C$10:$C$26,"NOT FOUND",0,1))</f>
        <v/>
      </c>
      <c r="F214" s="160" t="str">
        <f>IF(C214="","",_xlfn.XLOOKUP(D214,Legend!$A$29:$A$118,Legend!$B$29:$B$118,"NOT FOUND",0,1))</f>
        <v/>
      </c>
      <c r="G214" s="268" t="str">
        <f>IF(C214="","",_xlfn.XLOOKUP(D214,Legend!$A$29:$A$118,Legend!$C$29:$C$118,"NOT FOUND",0,1))</f>
        <v/>
      </c>
    </row>
    <row r="215" spans="1:7" x14ac:dyDescent="0.2">
      <c r="A215" s="3">
        <v>1</v>
      </c>
      <c r="C215" s="3" t="str">
        <f>IF(B215="","",IF(ISNUMBER(VALUE(_xlfn.TEXTBEFORE(B215," "))),_xlfn.XLOOKUP(VALUE(_xlfn.TEXTBEFORE(B215," ")),Legend!$B$11:$B$26,Legend!$A$11:$A$26,"NOT FOUND",0,1),_xlfn.TEXTBEFORE(B215," ")))</f>
        <v/>
      </c>
      <c r="D215" s="3" t="str">
        <f t="shared" si="3"/>
        <v/>
      </c>
      <c r="E215" s="159" t="str">
        <f>IF(C215="","",_xlfn.XLOOKUP(C215,Legend!$A$10:$A$26,Legend!$C$10:$C$26,"NOT FOUND",0,1))</f>
        <v/>
      </c>
      <c r="F215" s="160" t="str">
        <f>IF(C215="","",_xlfn.XLOOKUP(D215,Legend!$A$29:$A$118,Legend!$B$29:$B$118,"NOT FOUND",0,1))</f>
        <v/>
      </c>
      <c r="G215" s="268" t="str">
        <f>IF(C215="","",_xlfn.XLOOKUP(D215,Legend!$A$29:$A$118,Legend!$C$29:$C$118,"NOT FOUND",0,1))</f>
        <v/>
      </c>
    </row>
    <row r="216" spans="1:7" x14ac:dyDescent="0.2">
      <c r="A216" s="3">
        <v>1</v>
      </c>
      <c r="C216" s="3" t="str">
        <f>IF(B216="","",IF(ISNUMBER(VALUE(_xlfn.TEXTBEFORE(B216," "))),_xlfn.XLOOKUP(VALUE(_xlfn.TEXTBEFORE(B216," ")),Legend!$B$11:$B$26,Legend!$A$11:$A$26,"NOT FOUND",0,1),_xlfn.TEXTBEFORE(B216," ")))</f>
        <v/>
      </c>
      <c r="D216" s="3" t="str">
        <f t="shared" si="3"/>
        <v/>
      </c>
      <c r="E216" s="159" t="str">
        <f>IF(C216="","",_xlfn.XLOOKUP(C216,Legend!$A$10:$A$26,Legend!$C$10:$C$26,"NOT FOUND",0,1))</f>
        <v/>
      </c>
      <c r="F216" s="160" t="str">
        <f>IF(C216="","",_xlfn.XLOOKUP(D216,Legend!$A$29:$A$118,Legend!$B$29:$B$118,"NOT FOUND",0,1))</f>
        <v/>
      </c>
      <c r="G216" s="268" t="str">
        <f>IF(C216="","",_xlfn.XLOOKUP(D216,Legend!$A$29:$A$118,Legend!$C$29:$C$118,"NOT FOUND",0,1))</f>
        <v/>
      </c>
    </row>
    <row r="217" spans="1:7" x14ac:dyDescent="0.2">
      <c r="A217" s="3">
        <v>1</v>
      </c>
      <c r="C217" s="3" t="str">
        <f>IF(B217="","",IF(ISNUMBER(VALUE(_xlfn.TEXTBEFORE(B217," "))),_xlfn.XLOOKUP(VALUE(_xlfn.TEXTBEFORE(B217," ")),Legend!$B$11:$B$26,Legend!$A$11:$A$26,"NOT FOUND",0,1),_xlfn.TEXTBEFORE(B217," ")))</f>
        <v/>
      </c>
      <c r="D217" s="3" t="str">
        <f t="shared" si="3"/>
        <v/>
      </c>
      <c r="E217" s="159" t="str">
        <f>IF(C217="","",_xlfn.XLOOKUP(C217,Legend!$A$10:$A$26,Legend!$C$10:$C$26,"NOT FOUND",0,1))</f>
        <v/>
      </c>
      <c r="F217" s="160" t="str">
        <f>IF(C217="","",_xlfn.XLOOKUP(D217,Legend!$A$29:$A$118,Legend!$B$29:$B$118,"NOT FOUND",0,1))</f>
        <v/>
      </c>
      <c r="G217" s="268" t="str">
        <f>IF(C217="","",_xlfn.XLOOKUP(D217,Legend!$A$29:$A$118,Legend!$C$29:$C$118,"NOT FOUND",0,1))</f>
        <v/>
      </c>
    </row>
    <row r="218" spans="1:7" x14ac:dyDescent="0.2">
      <c r="A218" s="3">
        <v>1</v>
      </c>
      <c r="C218" s="3" t="str">
        <f>IF(B218="","",IF(ISNUMBER(VALUE(_xlfn.TEXTBEFORE(B218," "))),_xlfn.XLOOKUP(VALUE(_xlfn.TEXTBEFORE(B218," ")),Legend!$B$11:$B$26,Legend!$A$11:$A$26,"NOT FOUND",0,1),_xlfn.TEXTBEFORE(B218," ")))</f>
        <v/>
      </c>
      <c r="D218" s="3" t="str">
        <f t="shared" si="3"/>
        <v/>
      </c>
      <c r="E218" s="159" t="str">
        <f>IF(C218="","",_xlfn.XLOOKUP(C218,Legend!$A$10:$A$26,Legend!$C$10:$C$26,"NOT FOUND",0,1))</f>
        <v/>
      </c>
      <c r="F218" s="160" t="str">
        <f>IF(C218="","",_xlfn.XLOOKUP(D218,Legend!$A$29:$A$118,Legend!$B$29:$B$118,"NOT FOUND",0,1))</f>
        <v/>
      </c>
      <c r="G218" s="268" t="str">
        <f>IF(C218="","",_xlfn.XLOOKUP(D218,Legend!$A$29:$A$118,Legend!$C$29:$C$118,"NOT FOUND",0,1))</f>
        <v/>
      </c>
    </row>
    <row r="219" spans="1:7" x14ac:dyDescent="0.2">
      <c r="A219" s="3">
        <v>1</v>
      </c>
      <c r="C219" s="3" t="str">
        <f>IF(B219="","",IF(ISNUMBER(VALUE(_xlfn.TEXTBEFORE(B219," "))),_xlfn.XLOOKUP(VALUE(_xlfn.TEXTBEFORE(B219," ")),Legend!$B$11:$B$26,Legend!$A$11:$A$26,"NOT FOUND",0,1),_xlfn.TEXTBEFORE(B219," ")))</f>
        <v/>
      </c>
      <c r="D219" s="3" t="str">
        <f t="shared" si="3"/>
        <v/>
      </c>
      <c r="E219" s="159" t="str">
        <f>IF(C219="","",_xlfn.XLOOKUP(C219,Legend!$A$10:$A$26,Legend!$C$10:$C$26,"NOT FOUND",0,1))</f>
        <v/>
      </c>
      <c r="F219" s="160" t="str">
        <f>IF(C219="","",_xlfn.XLOOKUP(D219,Legend!$A$29:$A$118,Legend!$B$29:$B$118,"NOT FOUND",0,1))</f>
        <v/>
      </c>
      <c r="G219" s="268" t="str">
        <f>IF(C219="","",_xlfn.XLOOKUP(D219,Legend!$A$29:$A$118,Legend!$C$29:$C$118,"NOT FOUND",0,1))</f>
        <v/>
      </c>
    </row>
    <row r="220" spans="1:7" x14ac:dyDescent="0.2">
      <c r="A220" s="3">
        <v>1</v>
      </c>
      <c r="C220" s="3" t="str">
        <f>IF(B220="","",IF(ISNUMBER(VALUE(_xlfn.TEXTBEFORE(B220," "))),_xlfn.XLOOKUP(VALUE(_xlfn.TEXTBEFORE(B220," ")),Legend!$B$11:$B$26,Legend!$A$11:$A$26,"NOT FOUND",0,1),_xlfn.TEXTBEFORE(B220," ")))</f>
        <v/>
      </c>
      <c r="D220" s="3" t="str">
        <f t="shared" si="3"/>
        <v/>
      </c>
      <c r="E220" s="159" t="str">
        <f>IF(C220="","",_xlfn.XLOOKUP(C220,Legend!$A$10:$A$26,Legend!$C$10:$C$26,"NOT FOUND",0,1))</f>
        <v/>
      </c>
      <c r="F220" s="160" t="str">
        <f>IF(C220="","",_xlfn.XLOOKUP(D220,Legend!$A$29:$A$118,Legend!$B$29:$B$118,"NOT FOUND",0,1))</f>
        <v/>
      </c>
      <c r="G220" s="268" t="str">
        <f>IF(C220="","",_xlfn.XLOOKUP(D220,Legend!$A$29:$A$118,Legend!$C$29:$C$118,"NOT FOUND",0,1))</f>
        <v/>
      </c>
    </row>
    <row r="221" spans="1:7" x14ac:dyDescent="0.2">
      <c r="A221" s="3">
        <v>1</v>
      </c>
      <c r="C221" s="3" t="str">
        <f>IF(B221="","",IF(ISNUMBER(VALUE(_xlfn.TEXTBEFORE(B221," "))),_xlfn.XLOOKUP(VALUE(_xlfn.TEXTBEFORE(B221," ")),Legend!$B$11:$B$26,Legend!$A$11:$A$26,"NOT FOUND",0,1),_xlfn.TEXTBEFORE(B221," ")))</f>
        <v/>
      </c>
      <c r="D221" s="3" t="str">
        <f t="shared" si="3"/>
        <v/>
      </c>
      <c r="E221" s="159" t="str">
        <f>IF(C221="","",_xlfn.XLOOKUP(C221,Legend!$A$10:$A$26,Legend!$C$10:$C$26,"NOT FOUND",0,1))</f>
        <v/>
      </c>
      <c r="F221" s="160" t="str">
        <f>IF(C221="","",_xlfn.XLOOKUP(D221,Legend!$A$29:$A$118,Legend!$B$29:$B$118,"NOT FOUND",0,1))</f>
        <v/>
      </c>
      <c r="G221" s="268" t="str">
        <f>IF(C221="","",_xlfn.XLOOKUP(D221,Legend!$A$29:$A$118,Legend!$C$29:$C$118,"NOT FOUND",0,1))</f>
        <v/>
      </c>
    </row>
    <row r="222" spans="1:7" x14ac:dyDescent="0.2">
      <c r="A222" s="3">
        <v>1</v>
      </c>
      <c r="C222" s="3" t="str">
        <f>IF(B222="","",IF(ISNUMBER(VALUE(_xlfn.TEXTBEFORE(B222," "))),_xlfn.XLOOKUP(VALUE(_xlfn.TEXTBEFORE(B222," ")),Legend!$B$11:$B$26,Legend!$A$11:$A$26,"NOT FOUND",0,1),_xlfn.TEXTBEFORE(B222," ")))</f>
        <v/>
      </c>
      <c r="D222" s="3" t="str">
        <f t="shared" si="3"/>
        <v/>
      </c>
      <c r="E222" s="159" t="str">
        <f>IF(C222="","",_xlfn.XLOOKUP(C222,Legend!$A$10:$A$26,Legend!$C$10:$C$26,"NOT FOUND",0,1))</f>
        <v/>
      </c>
      <c r="F222" s="160" t="str">
        <f>IF(C222="","",_xlfn.XLOOKUP(D222,Legend!$A$29:$A$118,Legend!$B$29:$B$118,"NOT FOUND",0,1))</f>
        <v/>
      </c>
      <c r="G222" s="268" t="str">
        <f>IF(C222="","",_xlfn.XLOOKUP(D222,Legend!$A$29:$A$118,Legend!$C$29:$C$118,"NOT FOUND",0,1))</f>
        <v/>
      </c>
    </row>
    <row r="223" spans="1:7" x14ac:dyDescent="0.2">
      <c r="A223" s="3">
        <v>1</v>
      </c>
      <c r="C223" s="3" t="str">
        <f>IF(B223="","",IF(ISNUMBER(VALUE(_xlfn.TEXTBEFORE(B223," "))),_xlfn.XLOOKUP(VALUE(_xlfn.TEXTBEFORE(B223," ")),Legend!$B$11:$B$26,Legend!$A$11:$A$26,"NOT FOUND",0,1),_xlfn.TEXTBEFORE(B223," ")))</f>
        <v/>
      </c>
      <c r="D223" s="3" t="str">
        <f t="shared" si="3"/>
        <v/>
      </c>
      <c r="E223" s="159" t="str">
        <f>IF(C223="","",_xlfn.XLOOKUP(C223,Legend!$A$10:$A$26,Legend!$C$10:$C$26,"NOT FOUND",0,1))</f>
        <v/>
      </c>
      <c r="F223" s="160" t="str">
        <f>IF(C223="","",_xlfn.XLOOKUP(D223,Legend!$A$29:$A$118,Legend!$B$29:$B$118,"NOT FOUND",0,1))</f>
        <v/>
      </c>
      <c r="G223" s="268" t="str">
        <f>IF(C223="","",_xlfn.XLOOKUP(D223,Legend!$A$29:$A$118,Legend!$C$29:$C$118,"NOT FOUND",0,1))</f>
        <v/>
      </c>
    </row>
    <row r="224" spans="1:7" x14ac:dyDescent="0.2">
      <c r="A224" s="3">
        <v>1</v>
      </c>
      <c r="C224" s="3" t="str">
        <f>IF(B224="","",IF(ISNUMBER(VALUE(_xlfn.TEXTBEFORE(B224," "))),_xlfn.XLOOKUP(VALUE(_xlfn.TEXTBEFORE(B224," ")),Legend!$B$11:$B$26,Legend!$A$11:$A$26,"NOT FOUND",0,1),_xlfn.TEXTBEFORE(B224," ")))</f>
        <v/>
      </c>
      <c r="D224" s="3" t="str">
        <f t="shared" si="3"/>
        <v/>
      </c>
      <c r="E224" s="159" t="str">
        <f>IF(C224="","",_xlfn.XLOOKUP(C224,Legend!$A$10:$A$26,Legend!$C$10:$C$26,"NOT FOUND",0,1))</f>
        <v/>
      </c>
      <c r="F224" s="160" t="str">
        <f>IF(C224="","",_xlfn.XLOOKUP(D224,Legend!$A$29:$A$118,Legend!$B$29:$B$118,"NOT FOUND",0,1))</f>
        <v/>
      </c>
      <c r="G224" s="268" t="str">
        <f>IF(C224="","",_xlfn.XLOOKUP(D224,Legend!$A$29:$A$118,Legend!$C$29:$C$118,"NOT FOUND",0,1))</f>
        <v/>
      </c>
    </row>
    <row r="225" spans="1:7" x14ac:dyDescent="0.2">
      <c r="A225" s="3">
        <v>1</v>
      </c>
      <c r="C225" s="3" t="str">
        <f>IF(B225="","",IF(ISNUMBER(VALUE(_xlfn.TEXTBEFORE(B225," "))),_xlfn.XLOOKUP(VALUE(_xlfn.TEXTBEFORE(B225," ")),Legend!$B$11:$B$26,Legend!$A$11:$A$26,"NOT FOUND",0,1),_xlfn.TEXTBEFORE(B225," ")))</f>
        <v/>
      </c>
      <c r="D225" s="3" t="str">
        <f t="shared" si="3"/>
        <v/>
      </c>
      <c r="E225" s="159" t="str">
        <f>IF(C225="","",_xlfn.XLOOKUP(C225,Legend!$A$10:$A$26,Legend!$C$10:$C$26,"NOT FOUND",0,1))</f>
        <v/>
      </c>
      <c r="F225" s="160" t="str">
        <f>IF(C225="","",_xlfn.XLOOKUP(D225,Legend!$A$29:$A$118,Legend!$B$29:$B$118,"NOT FOUND",0,1))</f>
        <v/>
      </c>
      <c r="G225" s="268" t="str">
        <f>IF(C225="","",_xlfn.XLOOKUP(D225,Legend!$A$29:$A$118,Legend!$C$29:$C$118,"NOT FOUND",0,1))</f>
        <v/>
      </c>
    </row>
    <row r="226" spans="1:7" x14ac:dyDescent="0.2">
      <c r="A226" s="3">
        <v>1</v>
      </c>
      <c r="C226" s="3" t="str">
        <f>IF(B226="","",IF(ISNUMBER(VALUE(_xlfn.TEXTBEFORE(B226," "))),_xlfn.XLOOKUP(VALUE(_xlfn.TEXTBEFORE(B226," ")),Legend!$B$11:$B$26,Legend!$A$11:$A$26,"NOT FOUND",0,1),_xlfn.TEXTBEFORE(B226," ")))</f>
        <v/>
      </c>
      <c r="D226" s="3" t="str">
        <f t="shared" si="3"/>
        <v/>
      </c>
      <c r="E226" s="159" t="str">
        <f>IF(C226="","",_xlfn.XLOOKUP(C226,Legend!$A$10:$A$26,Legend!$C$10:$C$26,"NOT FOUND",0,1))</f>
        <v/>
      </c>
      <c r="F226" s="160" t="str">
        <f>IF(C226="","",_xlfn.XLOOKUP(D226,Legend!$A$29:$A$118,Legend!$B$29:$B$118,"NOT FOUND",0,1))</f>
        <v/>
      </c>
      <c r="G226" s="268" t="str">
        <f>IF(C226="","",_xlfn.XLOOKUP(D226,Legend!$A$29:$A$118,Legend!$C$29:$C$118,"NOT FOUND",0,1))</f>
        <v/>
      </c>
    </row>
    <row r="227" spans="1:7" x14ac:dyDescent="0.2">
      <c r="A227" s="3">
        <v>1</v>
      </c>
      <c r="C227" s="3" t="str">
        <f>IF(B227="","",IF(ISNUMBER(VALUE(_xlfn.TEXTBEFORE(B227," "))),_xlfn.XLOOKUP(VALUE(_xlfn.TEXTBEFORE(B227," ")),Legend!$B$11:$B$26,Legend!$A$11:$A$26,"NOT FOUND",0,1),_xlfn.TEXTBEFORE(B227," ")))</f>
        <v/>
      </c>
      <c r="D227" s="3" t="str">
        <f t="shared" si="3"/>
        <v/>
      </c>
      <c r="E227" s="159" t="str">
        <f>IF(C227="","",_xlfn.XLOOKUP(C227,Legend!$A$10:$A$26,Legend!$C$10:$C$26,"NOT FOUND",0,1))</f>
        <v/>
      </c>
      <c r="F227" s="160" t="str">
        <f>IF(C227="","",_xlfn.XLOOKUP(D227,Legend!$A$29:$A$118,Legend!$B$29:$B$118,"NOT FOUND",0,1))</f>
        <v/>
      </c>
      <c r="G227" s="268" t="str">
        <f>IF(C227="","",_xlfn.XLOOKUP(D227,Legend!$A$29:$A$118,Legend!$C$29:$C$118,"NOT FOUND",0,1))</f>
        <v/>
      </c>
    </row>
    <row r="228" spans="1:7" x14ac:dyDescent="0.2">
      <c r="A228" s="3">
        <v>1</v>
      </c>
      <c r="C228" s="3" t="str">
        <f>IF(B228="","",IF(ISNUMBER(VALUE(_xlfn.TEXTBEFORE(B228," "))),_xlfn.XLOOKUP(VALUE(_xlfn.TEXTBEFORE(B228," ")),Legend!$B$11:$B$26,Legend!$A$11:$A$26,"NOT FOUND",0,1),_xlfn.TEXTBEFORE(B228," ")))</f>
        <v/>
      </c>
      <c r="D228" s="3" t="str">
        <f t="shared" si="3"/>
        <v/>
      </c>
      <c r="E228" s="159" t="str">
        <f>IF(C228="","",_xlfn.XLOOKUP(C228,Legend!$A$10:$A$26,Legend!$C$10:$C$26,"NOT FOUND",0,1))</f>
        <v/>
      </c>
      <c r="F228" s="160" t="str">
        <f>IF(C228="","",_xlfn.XLOOKUP(D228,Legend!$A$29:$A$118,Legend!$B$29:$B$118,"NOT FOUND",0,1))</f>
        <v/>
      </c>
      <c r="G228" s="268" t="str">
        <f>IF(C228="","",_xlfn.XLOOKUP(D228,Legend!$A$29:$A$118,Legend!$C$29:$C$118,"NOT FOUND",0,1))</f>
        <v/>
      </c>
    </row>
    <row r="229" spans="1:7" x14ac:dyDescent="0.2">
      <c r="A229" s="3">
        <v>1</v>
      </c>
      <c r="C229" s="3" t="str">
        <f>IF(B229="","",IF(ISNUMBER(VALUE(_xlfn.TEXTBEFORE(B229," "))),_xlfn.XLOOKUP(VALUE(_xlfn.TEXTBEFORE(B229," ")),Legend!$B$11:$B$26,Legend!$A$11:$A$26,"NOT FOUND",0,1),_xlfn.TEXTBEFORE(B229," ")))</f>
        <v/>
      </c>
      <c r="D229" s="3" t="str">
        <f t="shared" si="3"/>
        <v/>
      </c>
      <c r="E229" s="159" t="str">
        <f>IF(C229="","",_xlfn.XLOOKUP(C229,Legend!$A$10:$A$26,Legend!$C$10:$C$26,"NOT FOUND",0,1))</f>
        <v/>
      </c>
      <c r="F229" s="160" t="str">
        <f>IF(C229="","",_xlfn.XLOOKUP(D229,Legend!$A$29:$A$118,Legend!$B$29:$B$118,"NOT FOUND",0,1))</f>
        <v/>
      </c>
      <c r="G229" s="268" t="str">
        <f>IF(C229="","",_xlfn.XLOOKUP(D229,Legend!$A$29:$A$118,Legend!$C$29:$C$118,"NOT FOUND",0,1))</f>
        <v/>
      </c>
    </row>
    <row r="230" spans="1:7" x14ac:dyDescent="0.2">
      <c r="A230" s="3">
        <v>1</v>
      </c>
      <c r="C230" s="3" t="str">
        <f>IF(B230="","",IF(ISNUMBER(VALUE(_xlfn.TEXTBEFORE(B230," "))),_xlfn.XLOOKUP(VALUE(_xlfn.TEXTBEFORE(B230," ")),Legend!$B$11:$B$26,Legend!$A$11:$A$26,"NOT FOUND",0,1),_xlfn.TEXTBEFORE(B230," ")))</f>
        <v/>
      </c>
      <c r="D230" s="3" t="str">
        <f t="shared" si="3"/>
        <v/>
      </c>
      <c r="E230" s="159" t="str">
        <f>IF(C230="","",_xlfn.XLOOKUP(C230,Legend!$A$10:$A$26,Legend!$C$10:$C$26,"NOT FOUND",0,1))</f>
        <v/>
      </c>
      <c r="F230" s="160" t="str">
        <f>IF(C230="","",_xlfn.XLOOKUP(D230,Legend!$A$29:$A$118,Legend!$B$29:$B$118,"NOT FOUND",0,1))</f>
        <v/>
      </c>
      <c r="G230" s="268" t="str">
        <f>IF(C230="","",_xlfn.XLOOKUP(D230,Legend!$A$29:$A$118,Legend!$C$29:$C$118,"NOT FOUND",0,1))</f>
        <v/>
      </c>
    </row>
    <row r="231" spans="1:7" x14ac:dyDescent="0.2">
      <c r="A231" s="3">
        <v>1</v>
      </c>
      <c r="C231" s="3" t="str">
        <f>IF(B231="","",IF(ISNUMBER(VALUE(_xlfn.TEXTBEFORE(B231," "))),_xlfn.XLOOKUP(VALUE(_xlfn.TEXTBEFORE(B231," ")),Legend!$B$11:$B$26,Legend!$A$11:$A$26,"NOT FOUND",0,1),_xlfn.TEXTBEFORE(B231," ")))</f>
        <v/>
      </c>
      <c r="D231" s="3" t="str">
        <f t="shared" si="3"/>
        <v/>
      </c>
      <c r="E231" s="159" t="str">
        <f>IF(C231="","",_xlfn.XLOOKUP(C231,Legend!$A$10:$A$26,Legend!$C$10:$C$26,"NOT FOUND",0,1))</f>
        <v/>
      </c>
      <c r="F231" s="160" t="str">
        <f>IF(C231="","",_xlfn.XLOOKUP(D231,Legend!$A$29:$A$118,Legend!$B$29:$B$118,"NOT FOUND",0,1))</f>
        <v/>
      </c>
      <c r="G231" s="268" t="str">
        <f>IF(C231="","",_xlfn.XLOOKUP(D231,Legend!$A$29:$A$118,Legend!$C$29:$C$118,"NOT FOUND",0,1))</f>
        <v/>
      </c>
    </row>
    <row r="232" spans="1:7" x14ac:dyDescent="0.2">
      <c r="A232" s="3">
        <v>1</v>
      </c>
      <c r="C232" s="3" t="str">
        <f>IF(B232="","",IF(ISNUMBER(VALUE(_xlfn.TEXTBEFORE(B232," "))),_xlfn.XLOOKUP(VALUE(_xlfn.TEXTBEFORE(B232," ")),Legend!$B$11:$B$26,Legend!$A$11:$A$26,"NOT FOUND",0,1),_xlfn.TEXTBEFORE(B232," ")))</f>
        <v/>
      </c>
      <c r="D232" s="3" t="str">
        <f t="shared" si="3"/>
        <v/>
      </c>
      <c r="E232" s="159" t="str">
        <f>IF(C232="","",_xlfn.XLOOKUP(C232,Legend!$A$10:$A$26,Legend!$C$10:$C$26,"NOT FOUND",0,1))</f>
        <v/>
      </c>
      <c r="F232" s="160" t="str">
        <f>IF(C232="","",_xlfn.XLOOKUP(D232,Legend!$A$29:$A$118,Legend!$B$29:$B$118,"NOT FOUND",0,1))</f>
        <v/>
      </c>
      <c r="G232" s="268" t="str">
        <f>IF(C232="","",_xlfn.XLOOKUP(D232,Legend!$A$29:$A$118,Legend!$C$29:$C$118,"NOT FOUND",0,1))</f>
        <v/>
      </c>
    </row>
    <row r="233" spans="1:7" x14ac:dyDescent="0.2">
      <c r="A233" s="3">
        <v>1</v>
      </c>
      <c r="C233" s="3" t="str">
        <f>IF(B233="","",IF(ISNUMBER(VALUE(_xlfn.TEXTBEFORE(B233," "))),_xlfn.XLOOKUP(VALUE(_xlfn.TEXTBEFORE(B233," ")),Legend!$B$11:$B$26,Legend!$A$11:$A$26,"NOT FOUND",0,1),_xlfn.TEXTBEFORE(B233," ")))</f>
        <v/>
      </c>
      <c r="D233" s="3" t="str">
        <f t="shared" si="3"/>
        <v/>
      </c>
      <c r="E233" s="159" t="str">
        <f>IF(C233="","",_xlfn.XLOOKUP(C233,Legend!$A$10:$A$26,Legend!$C$10:$C$26,"NOT FOUND",0,1))</f>
        <v/>
      </c>
      <c r="F233" s="160" t="str">
        <f>IF(C233="","",_xlfn.XLOOKUP(D233,Legend!$A$29:$A$118,Legend!$B$29:$B$118,"NOT FOUND",0,1))</f>
        <v/>
      </c>
      <c r="G233" s="268" t="str">
        <f>IF(C233="","",_xlfn.XLOOKUP(D233,Legend!$A$29:$A$118,Legend!$C$29:$C$118,"NOT FOUND",0,1))</f>
        <v/>
      </c>
    </row>
    <row r="234" spans="1:7" x14ac:dyDescent="0.2">
      <c r="A234" s="3">
        <v>1</v>
      </c>
      <c r="C234" s="3" t="str">
        <f>IF(B234="","",IF(ISNUMBER(VALUE(_xlfn.TEXTBEFORE(B234," "))),_xlfn.XLOOKUP(VALUE(_xlfn.TEXTBEFORE(B234," ")),Legend!$B$11:$B$26,Legend!$A$11:$A$26,"NOT FOUND",0,1),_xlfn.TEXTBEFORE(B234," ")))</f>
        <v/>
      </c>
      <c r="D234" s="3" t="str">
        <f t="shared" si="3"/>
        <v/>
      </c>
      <c r="E234" s="159" t="str">
        <f>IF(C234="","",_xlfn.XLOOKUP(C234,Legend!$A$10:$A$26,Legend!$C$10:$C$26,"NOT FOUND",0,1))</f>
        <v/>
      </c>
      <c r="F234" s="160" t="str">
        <f>IF(C234="","",_xlfn.XLOOKUP(D234,Legend!$A$29:$A$118,Legend!$B$29:$B$118,"NOT FOUND",0,1))</f>
        <v/>
      </c>
      <c r="G234" s="268" t="str">
        <f>IF(C234="","",_xlfn.XLOOKUP(D234,Legend!$A$29:$A$118,Legend!$C$29:$C$118,"NOT FOUND",0,1))</f>
        <v/>
      </c>
    </row>
    <row r="235" spans="1:7" x14ac:dyDescent="0.2">
      <c r="A235" s="3">
        <v>1</v>
      </c>
      <c r="C235" s="3" t="str">
        <f>IF(B235="","",IF(ISNUMBER(VALUE(_xlfn.TEXTBEFORE(B235," "))),_xlfn.XLOOKUP(VALUE(_xlfn.TEXTBEFORE(B235," ")),Legend!$B$11:$B$26,Legend!$A$11:$A$26,"NOT FOUND",0,1),_xlfn.TEXTBEFORE(B235," ")))</f>
        <v/>
      </c>
      <c r="D235" s="3" t="str">
        <f t="shared" si="3"/>
        <v/>
      </c>
      <c r="E235" s="159" t="str">
        <f>IF(C235="","",_xlfn.XLOOKUP(C235,Legend!$A$10:$A$26,Legend!$C$10:$C$26,"NOT FOUND",0,1))</f>
        <v/>
      </c>
      <c r="F235" s="160" t="str">
        <f>IF(C235="","",_xlfn.XLOOKUP(D235,Legend!$A$29:$A$118,Legend!$B$29:$B$118,"NOT FOUND",0,1))</f>
        <v/>
      </c>
      <c r="G235" s="268" t="str">
        <f>IF(C235="","",_xlfn.XLOOKUP(D235,Legend!$A$29:$A$118,Legend!$C$29:$C$118,"NOT FOUND",0,1))</f>
        <v/>
      </c>
    </row>
    <row r="236" spans="1:7" x14ac:dyDescent="0.2">
      <c r="A236" s="3">
        <v>1</v>
      </c>
      <c r="C236" s="3" t="str">
        <f>IF(B236="","",IF(ISNUMBER(VALUE(_xlfn.TEXTBEFORE(B236," "))),_xlfn.XLOOKUP(VALUE(_xlfn.TEXTBEFORE(B236," ")),Legend!$B$11:$B$26,Legend!$A$11:$A$26,"NOT FOUND",0,1),_xlfn.TEXTBEFORE(B236," ")))</f>
        <v/>
      </c>
      <c r="D236" s="3" t="str">
        <f t="shared" si="3"/>
        <v/>
      </c>
      <c r="E236" s="159" t="str">
        <f>IF(C236="","",_xlfn.XLOOKUP(C236,Legend!$A$10:$A$26,Legend!$C$10:$C$26,"NOT FOUND",0,1))</f>
        <v/>
      </c>
      <c r="F236" s="160" t="str">
        <f>IF(C236="","",_xlfn.XLOOKUP(D236,Legend!$A$29:$A$118,Legend!$B$29:$B$118,"NOT FOUND",0,1))</f>
        <v/>
      </c>
      <c r="G236" s="268" t="str">
        <f>IF(C236="","",_xlfn.XLOOKUP(D236,Legend!$A$29:$A$118,Legend!$C$29:$C$118,"NOT FOUND",0,1))</f>
        <v/>
      </c>
    </row>
    <row r="237" spans="1:7" x14ac:dyDescent="0.2">
      <c r="A237" s="3">
        <v>1</v>
      </c>
      <c r="C237" s="3" t="str">
        <f>IF(B237="","",IF(ISNUMBER(VALUE(_xlfn.TEXTBEFORE(B237," "))),_xlfn.XLOOKUP(VALUE(_xlfn.TEXTBEFORE(B237," ")),Legend!$B$11:$B$26,Legend!$A$11:$A$26,"NOT FOUND",0,1),_xlfn.TEXTBEFORE(B237," ")))</f>
        <v/>
      </c>
      <c r="D237" s="3" t="str">
        <f t="shared" si="3"/>
        <v/>
      </c>
      <c r="E237" s="159" t="str">
        <f>IF(C237="","",_xlfn.XLOOKUP(C237,Legend!$A$10:$A$26,Legend!$C$10:$C$26,"NOT FOUND",0,1))</f>
        <v/>
      </c>
      <c r="F237" s="160" t="str">
        <f>IF(C237="","",_xlfn.XLOOKUP(D237,Legend!$A$29:$A$118,Legend!$B$29:$B$118,"NOT FOUND",0,1))</f>
        <v/>
      </c>
      <c r="G237" s="268" t="str">
        <f>IF(C237="","",_xlfn.XLOOKUP(D237,Legend!$A$29:$A$118,Legend!$C$29:$C$118,"NOT FOUND",0,1))</f>
        <v/>
      </c>
    </row>
    <row r="238" spans="1:7" x14ac:dyDescent="0.2">
      <c r="A238" s="3">
        <v>1</v>
      </c>
      <c r="C238" s="3" t="str">
        <f>IF(B238="","",IF(ISNUMBER(VALUE(_xlfn.TEXTBEFORE(B238," "))),_xlfn.XLOOKUP(VALUE(_xlfn.TEXTBEFORE(B238," ")),Legend!$B$11:$B$26,Legend!$A$11:$A$26,"NOT FOUND",0,1),_xlfn.TEXTBEFORE(B238," ")))</f>
        <v/>
      </c>
      <c r="D238" s="3" t="str">
        <f t="shared" si="3"/>
        <v/>
      </c>
      <c r="E238" s="159" t="str">
        <f>IF(C238="","",_xlfn.XLOOKUP(C238,Legend!$A$10:$A$26,Legend!$C$10:$C$26,"NOT FOUND",0,1))</f>
        <v/>
      </c>
      <c r="F238" s="160" t="str">
        <f>IF(C238="","",_xlfn.XLOOKUP(D238,Legend!$A$29:$A$118,Legend!$B$29:$B$118,"NOT FOUND",0,1))</f>
        <v/>
      </c>
      <c r="G238" s="268" t="str">
        <f>IF(C238="","",_xlfn.XLOOKUP(D238,Legend!$A$29:$A$118,Legend!$C$29:$C$118,"NOT FOUND",0,1))</f>
        <v/>
      </c>
    </row>
    <row r="239" spans="1:7" x14ac:dyDescent="0.2">
      <c r="A239" s="3">
        <v>1</v>
      </c>
      <c r="C239" s="3" t="str">
        <f>IF(B239="","",IF(ISNUMBER(VALUE(_xlfn.TEXTBEFORE(B239," "))),_xlfn.XLOOKUP(VALUE(_xlfn.TEXTBEFORE(B239," ")),Legend!$B$11:$B$26,Legend!$A$11:$A$26,"NOT FOUND",0,1),_xlfn.TEXTBEFORE(B239," ")))</f>
        <v/>
      </c>
      <c r="D239" s="3" t="str">
        <f t="shared" si="3"/>
        <v/>
      </c>
      <c r="E239" s="159" t="str">
        <f>IF(C239="","",_xlfn.XLOOKUP(C239,Legend!$A$10:$A$26,Legend!$C$10:$C$26,"NOT FOUND",0,1))</f>
        <v/>
      </c>
      <c r="F239" s="160" t="str">
        <f>IF(C239="","",_xlfn.XLOOKUP(D239,Legend!$A$29:$A$118,Legend!$B$29:$B$118,"NOT FOUND",0,1))</f>
        <v/>
      </c>
      <c r="G239" s="268" t="str">
        <f>IF(C239="","",_xlfn.XLOOKUP(D239,Legend!$A$29:$A$118,Legend!$C$29:$C$118,"NOT FOUND",0,1))</f>
        <v/>
      </c>
    </row>
    <row r="240" spans="1:7" x14ac:dyDescent="0.2">
      <c r="A240" s="3">
        <v>1</v>
      </c>
      <c r="C240" s="3" t="str">
        <f>IF(B240="","",IF(ISNUMBER(VALUE(_xlfn.TEXTBEFORE(B240," "))),_xlfn.XLOOKUP(VALUE(_xlfn.TEXTBEFORE(B240," ")),Legend!$B$11:$B$26,Legend!$A$11:$A$26,"NOT FOUND",0,1),_xlfn.TEXTBEFORE(B240," ")))</f>
        <v/>
      </c>
      <c r="D240" s="3" t="str">
        <f t="shared" si="3"/>
        <v/>
      </c>
      <c r="E240" s="159" t="str">
        <f>IF(C240="","",_xlfn.XLOOKUP(C240,Legend!$A$10:$A$26,Legend!$C$10:$C$26,"NOT FOUND",0,1))</f>
        <v/>
      </c>
      <c r="F240" s="160" t="str">
        <f>IF(C240="","",_xlfn.XLOOKUP(D240,Legend!$A$29:$A$118,Legend!$B$29:$B$118,"NOT FOUND",0,1))</f>
        <v/>
      </c>
      <c r="G240" s="268" t="str">
        <f>IF(C240="","",_xlfn.XLOOKUP(D240,Legend!$A$29:$A$118,Legend!$C$29:$C$118,"NOT FOUND",0,1))</f>
        <v/>
      </c>
    </row>
    <row r="241" spans="1:7" x14ac:dyDescent="0.2">
      <c r="A241" s="3">
        <v>1</v>
      </c>
      <c r="C241" s="3" t="str">
        <f>IF(B241="","",IF(ISNUMBER(VALUE(_xlfn.TEXTBEFORE(B241," "))),_xlfn.XLOOKUP(VALUE(_xlfn.TEXTBEFORE(B241," ")),Legend!$B$11:$B$26,Legend!$A$11:$A$26,"NOT FOUND",0,1),_xlfn.TEXTBEFORE(B241," ")))</f>
        <v/>
      </c>
      <c r="D241" s="3" t="str">
        <f t="shared" si="3"/>
        <v/>
      </c>
      <c r="E241" s="159" t="str">
        <f>IF(C241="","",_xlfn.XLOOKUP(C241,Legend!$A$10:$A$26,Legend!$C$10:$C$26,"NOT FOUND",0,1))</f>
        <v/>
      </c>
      <c r="F241" s="160" t="str">
        <f>IF(C241="","",_xlfn.XLOOKUP(D241,Legend!$A$29:$A$118,Legend!$B$29:$B$118,"NOT FOUND",0,1))</f>
        <v/>
      </c>
      <c r="G241" s="268" t="str">
        <f>IF(C241="","",_xlfn.XLOOKUP(D241,Legend!$A$29:$A$118,Legend!$C$29:$C$118,"NOT FOUND",0,1))</f>
        <v/>
      </c>
    </row>
    <row r="242" spans="1:7" x14ac:dyDescent="0.2">
      <c r="A242" s="3">
        <v>1</v>
      </c>
      <c r="C242" s="3" t="str">
        <f>IF(B242="","",IF(ISNUMBER(VALUE(_xlfn.TEXTBEFORE(B242," "))),_xlfn.XLOOKUP(VALUE(_xlfn.TEXTBEFORE(B242," ")),Legend!$B$11:$B$26,Legend!$A$11:$A$26,"NOT FOUND",0,1),_xlfn.TEXTBEFORE(B242," ")))</f>
        <v/>
      </c>
      <c r="D242" s="3" t="str">
        <f t="shared" si="3"/>
        <v/>
      </c>
      <c r="E242" s="159" t="str">
        <f>IF(C242="","",_xlfn.XLOOKUP(C242,Legend!$A$10:$A$26,Legend!$C$10:$C$26,"NOT FOUND",0,1))</f>
        <v/>
      </c>
      <c r="F242" s="160" t="str">
        <f>IF(C242="","",_xlfn.XLOOKUP(D242,Legend!$A$29:$A$118,Legend!$B$29:$B$118,"NOT FOUND",0,1))</f>
        <v/>
      </c>
      <c r="G242" s="268" t="str">
        <f>IF(C242="","",_xlfn.XLOOKUP(D242,Legend!$A$29:$A$118,Legend!$C$29:$C$118,"NOT FOUND",0,1))</f>
        <v/>
      </c>
    </row>
    <row r="243" spans="1:7" x14ac:dyDescent="0.2">
      <c r="A243" s="3">
        <v>1</v>
      </c>
      <c r="C243" s="3" t="str">
        <f>IF(B243="","",IF(ISNUMBER(VALUE(_xlfn.TEXTBEFORE(B243," "))),_xlfn.XLOOKUP(VALUE(_xlfn.TEXTBEFORE(B243," ")),Legend!$B$11:$B$26,Legend!$A$11:$A$26,"NOT FOUND",0,1),_xlfn.TEXTBEFORE(B243," ")))</f>
        <v/>
      </c>
      <c r="D243" s="3" t="str">
        <f t="shared" si="3"/>
        <v/>
      </c>
      <c r="E243" s="159" t="str">
        <f>IF(C243="","",_xlfn.XLOOKUP(C243,Legend!$A$10:$A$26,Legend!$C$10:$C$26,"NOT FOUND",0,1))</f>
        <v/>
      </c>
      <c r="F243" s="160" t="str">
        <f>IF(C243="","",_xlfn.XLOOKUP(D243,Legend!$A$29:$A$118,Legend!$B$29:$B$118,"NOT FOUND",0,1))</f>
        <v/>
      </c>
      <c r="G243" s="268" t="str">
        <f>IF(C243="","",_xlfn.XLOOKUP(D243,Legend!$A$29:$A$118,Legend!$C$29:$C$118,"NOT FOUND",0,1))</f>
        <v/>
      </c>
    </row>
    <row r="244" spans="1:7" x14ac:dyDescent="0.2">
      <c r="A244" s="3">
        <v>1</v>
      </c>
      <c r="C244" s="3" t="str">
        <f>IF(B244="","",IF(ISNUMBER(VALUE(_xlfn.TEXTBEFORE(B244," "))),_xlfn.XLOOKUP(VALUE(_xlfn.TEXTBEFORE(B244," ")),Legend!$B$11:$B$26,Legend!$A$11:$A$26,"NOT FOUND",0,1),_xlfn.TEXTBEFORE(B244," ")))</f>
        <v/>
      </c>
      <c r="D244" s="3" t="str">
        <f t="shared" si="3"/>
        <v/>
      </c>
      <c r="E244" s="159" t="str">
        <f>IF(C244="","",_xlfn.XLOOKUP(C244,Legend!$A$10:$A$26,Legend!$C$10:$C$26,"NOT FOUND",0,1))</f>
        <v/>
      </c>
      <c r="F244" s="160" t="str">
        <f>IF(C244="","",_xlfn.XLOOKUP(D244,Legend!$A$29:$A$118,Legend!$B$29:$B$118,"NOT FOUND",0,1))</f>
        <v/>
      </c>
      <c r="G244" s="268" t="str">
        <f>IF(C244="","",_xlfn.XLOOKUP(D244,Legend!$A$29:$A$118,Legend!$C$29:$C$118,"NOT FOUND",0,1))</f>
        <v/>
      </c>
    </row>
    <row r="245" spans="1:7" x14ac:dyDescent="0.2">
      <c r="A245" s="3">
        <v>1</v>
      </c>
      <c r="C245" s="3" t="str">
        <f>IF(B245="","",IF(ISNUMBER(VALUE(_xlfn.TEXTBEFORE(B245," "))),_xlfn.XLOOKUP(VALUE(_xlfn.TEXTBEFORE(B245," ")),Legend!$B$11:$B$26,Legend!$A$11:$A$26,"NOT FOUND",0,1),_xlfn.TEXTBEFORE(B245," ")))</f>
        <v/>
      </c>
      <c r="D245" s="3" t="str">
        <f t="shared" si="3"/>
        <v/>
      </c>
      <c r="E245" s="159" t="str">
        <f>IF(C245="","",_xlfn.XLOOKUP(C245,Legend!$A$10:$A$26,Legend!$C$10:$C$26,"NOT FOUND",0,1))</f>
        <v/>
      </c>
      <c r="F245" s="160" t="str">
        <f>IF(C245="","",_xlfn.XLOOKUP(D245,Legend!$A$29:$A$118,Legend!$B$29:$B$118,"NOT FOUND",0,1))</f>
        <v/>
      </c>
      <c r="G245" s="268" t="str">
        <f>IF(C245="","",_xlfn.XLOOKUP(D245,Legend!$A$29:$A$118,Legend!$C$29:$C$118,"NOT FOUND",0,1))</f>
        <v/>
      </c>
    </row>
    <row r="246" spans="1:7" x14ac:dyDescent="0.2">
      <c r="A246" s="3">
        <v>1</v>
      </c>
      <c r="C246" s="3" t="str">
        <f>IF(B246="","",IF(ISNUMBER(VALUE(_xlfn.TEXTBEFORE(B246," "))),_xlfn.XLOOKUP(VALUE(_xlfn.TEXTBEFORE(B246," ")),Legend!$B$11:$B$26,Legend!$A$11:$A$26,"NOT FOUND",0,1),_xlfn.TEXTBEFORE(B246," ")))</f>
        <v/>
      </c>
      <c r="D246" s="3" t="str">
        <f t="shared" si="3"/>
        <v/>
      </c>
      <c r="E246" s="159" t="str">
        <f>IF(C246="","",_xlfn.XLOOKUP(C246,Legend!$A$10:$A$26,Legend!$C$10:$C$26,"NOT FOUND",0,1))</f>
        <v/>
      </c>
      <c r="F246" s="160" t="str">
        <f>IF(C246="","",_xlfn.XLOOKUP(D246,Legend!$A$29:$A$118,Legend!$B$29:$B$118,"NOT FOUND",0,1))</f>
        <v/>
      </c>
      <c r="G246" s="268" t="str">
        <f>IF(C246="","",_xlfn.XLOOKUP(D246,Legend!$A$29:$A$118,Legend!$C$29:$C$118,"NOT FOUND",0,1))</f>
        <v/>
      </c>
    </row>
    <row r="247" spans="1:7" x14ac:dyDescent="0.2">
      <c r="A247" s="3">
        <v>1</v>
      </c>
      <c r="C247" s="3" t="str">
        <f>IF(B247="","",IF(ISNUMBER(VALUE(_xlfn.TEXTBEFORE(B247," "))),_xlfn.XLOOKUP(VALUE(_xlfn.TEXTBEFORE(B247," ")),Legend!$B$11:$B$26,Legend!$A$11:$A$26,"NOT FOUND",0,1),_xlfn.TEXTBEFORE(B247," ")))</f>
        <v/>
      </c>
      <c r="D247" s="3" t="str">
        <f t="shared" si="3"/>
        <v/>
      </c>
      <c r="E247" s="159" t="str">
        <f>IF(C247="","",_xlfn.XLOOKUP(C247,Legend!$A$10:$A$26,Legend!$C$10:$C$26,"NOT FOUND",0,1))</f>
        <v/>
      </c>
      <c r="F247" s="160" t="str">
        <f>IF(C247="","",_xlfn.XLOOKUP(D247,Legend!$A$29:$A$118,Legend!$B$29:$B$118,"NOT FOUND",0,1))</f>
        <v/>
      </c>
      <c r="G247" s="268" t="str">
        <f>IF(C247="","",_xlfn.XLOOKUP(D247,Legend!$A$29:$A$118,Legend!$C$29:$C$118,"NOT FOUND",0,1))</f>
        <v/>
      </c>
    </row>
    <row r="248" spans="1:7" x14ac:dyDescent="0.2">
      <c r="A248" s="3">
        <v>1</v>
      </c>
      <c r="C248" s="3" t="str">
        <f>IF(B248="","",IF(ISNUMBER(VALUE(_xlfn.TEXTBEFORE(B248," "))),_xlfn.XLOOKUP(VALUE(_xlfn.TEXTBEFORE(B248," ")),Legend!$B$11:$B$26,Legend!$A$11:$A$26,"NOT FOUND",0,1),_xlfn.TEXTBEFORE(B248," ")))</f>
        <v/>
      </c>
      <c r="D248" s="3" t="str">
        <f t="shared" si="3"/>
        <v/>
      </c>
      <c r="E248" s="159" t="str">
        <f>IF(C248="","",_xlfn.XLOOKUP(C248,Legend!$A$10:$A$26,Legend!$C$10:$C$26,"NOT FOUND",0,1))</f>
        <v/>
      </c>
      <c r="F248" s="160" t="str">
        <f>IF(C248="","",_xlfn.XLOOKUP(D248,Legend!$A$29:$A$118,Legend!$B$29:$B$118,"NOT FOUND",0,1))</f>
        <v/>
      </c>
      <c r="G248" s="268" t="str">
        <f>IF(C248="","",_xlfn.XLOOKUP(D248,Legend!$A$29:$A$118,Legend!$C$29:$C$118,"NOT FOUND",0,1))</f>
        <v/>
      </c>
    </row>
    <row r="249" spans="1:7" x14ac:dyDescent="0.2">
      <c r="A249" s="3">
        <v>1</v>
      </c>
      <c r="C249" s="3" t="str">
        <f>IF(B249="","",IF(ISNUMBER(VALUE(_xlfn.TEXTBEFORE(B249," "))),_xlfn.XLOOKUP(VALUE(_xlfn.TEXTBEFORE(B249," ")),Legend!$B$11:$B$26,Legend!$A$11:$A$26,"NOT FOUND",0,1),_xlfn.TEXTBEFORE(B249," ")))</f>
        <v/>
      </c>
      <c r="D249" s="3" t="str">
        <f t="shared" si="3"/>
        <v/>
      </c>
      <c r="E249" s="159" t="str">
        <f>IF(C249="","",_xlfn.XLOOKUP(C249,Legend!$A$10:$A$26,Legend!$C$10:$C$26,"NOT FOUND",0,1))</f>
        <v/>
      </c>
      <c r="F249" s="160" t="str">
        <f>IF(C249="","",_xlfn.XLOOKUP(D249,Legend!$A$29:$A$118,Legend!$B$29:$B$118,"NOT FOUND",0,1))</f>
        <v/>
      </c>
      <c r="G249" s="268" t="str">
        <f>IF(C249="","",_xlfn.XLOOKUP(D249,Legend!$A$29:$A$118,Legend!$C$29:$C$118,"NOT FOUND",0,1))</f>
        <v/>
      </c>
    </row>
    <row r="250" spans="1:7" x14ac:dyDescent="0.2">
      <c r="A250" s="3">
        <v>1</v>
      </c>
      <c r="C250" s="3" t="str">
        <f>IF(B250="","",IF(ISNUMBER(VALUE(_xlfn.TEXTBEFORE(B250," "))),_xlfn.XLOOKUP(VALUE(_xlfn.TEXTBEFORE(B250," ")),Legend!$B$11:$B$26,Legend!$A$11:$A$26,"NOT FOUND",0,1),_xlfn.TEXTBEFORE(B250," ")))</f>
        <v/>
      </c>
      <c r="D250" s="3" t="str">
        <f t="shared" si="3"/>
        <v/>
      </c>
      <c r="E250" s="159" t="str">
        <f>IF(C250="","",_xlfn.XLOOKUP(C250,Legend!$A$10:$A$26,Legend!$C$10:$C$26,"NOT FOUND",0,1))</f>
        <v/>
      </c>
      <c r="F250" s="160" t="str">
        <f>IF(C250="","",_xlfn.XLOOKUP(D250,Legend!$A$29:$A$118,Legend!$B$29:$B$118,"NOT FOUND",0,1))</f>
        <v/>
      </c>
      <c r="G250" s="268" t="str">
        <f>IF(C250="","",_xlfn.XLOOKUP(D250,Legend!$A$29:$A$118,Legend!$C$29:$C$118,"NOT FOUND",0,1))</f>
        <v/>
      </c>
    </row>
    <row r="251" spans="1:7" x14ac:dyDescent="0.2">
      <c r="A251" s="3">
        <v>1</v>
      </c>
      <c r="C251" s="3" t="str">
        <f>IF(B251="","",IF(ISNUMBER(VALUE(_xlfn.TEXTBEFORE(B251," "))),_xlfn.XLOOKUP(VALUE(_xlfn.TEXTBEFORE(B251," ")),Legend!$B$11:$B$26,Legend!$A$11:$A$26,"NOT FOUND",0,1),_xlfn.TEXTBEFORE(B251," ")))</f>
        <v/>
      </c>
      <c r="D251" s="3" t="str">
        <f t="shared" si="3"/>
        <v/>
      </c>
      <c r="E251" s="159" t="str">
        <f>IF(C251="","",_xlfn.XLOOKUP(C251,Legend!$A$10:$A$26,Legend!$C$10:$C$26,"NOT FOUND",0,1))</f>
        <v/>
      </c>
      <c r="F251" s="160" t="str">
        <f>IF(C251="","",_xlfn.XLOOKUP(D251,Legend!$A$29:$A$118,Legend!$B$29:$B$118,"NOT FOUND",0,1))</f>
        <v/>
      </c>
      <c r="G251" s="268" t="str">
        <f>IF(C251="","",_xlfn.XLOOKUP(D251,Legend!$A$29:$A$118,Legend!$C$29:$C$118,"NOT FOUND",0,1))</f>
        <v/>
      </c>
    </row>
    <row r="252" spans="1:7" x14ac:dyDescent="0.2">
      <c r="A252" s="3">
        <v>1</v>
      </c>
      <c r="C252" s="3" t="str">
        <f>IF(B252="","",IF(ISNUMBER(VALUE(_xlfn.TEXTBEFORE(B252," "))),_xlfn.XLOOKUP(VALUE(_xlfn.TEXTBEFORE(B252," ")),Legend!$B$11:$B$26,Legend!$A$11:$A$26,"NOT FOUND",0,1),_xlfn.TEXTBEFORE(B252," ")))</f>
        <v/>
      </c>
      <c r="D252" s="3" t="str">
        <f t="shared" si="3"/>
        <v/>
      </c>
      <c r="E252" s="159" t="str">
        <f>IF(C252="","",_xlfn.XLOOKUP(C252,Legend!$A$10:$A$26,Legend!$C$10:$C$26,"NOT FOUND",0,1))</f>
        <v/>
      </c>
      <c r="F252" s="160" t="str">
        <f>IF(C252="","",_xlfn.XLOOKUP(D252,Legend!$A$29:$A$118,Legend!$B$29:$B$118,"NOT FOUND",0,1))</f>
        <v/>
      </c>
      <c r="G252" s="268" t="str">
        <f>IF(C252="","",_xlfn.XLOOKUP(D252,Legend!$A$29:$A$118,Legend!$C$29:$C$118,"NOT FOUND",0,1))</f>
        <v/>
      </c>
    </row>
    <row r="253" spans="1:7" x14ac:dyDescent="0.2">
      <c r="A253" s="3">
        <v>1</v>
      </c>
      <c r="C253" s="3" t="str">
        <f>IF(B253="","",IF(ISNUMBER(VALUE(_xlfn.TEXTBEFORE(B253," "))),_xlfn.XLOOKUP(VALUE(_xlfn.TEXTBEFORE(B253," ")),Legend!$B$11:$B$26,Legend!$A$11:$A$26,"NOT FOUND",0,1),_xlfn.TEXTBEFORE(B253," ")))</f>
        <v/>
      </c>
      <c r="D253" s="3" t="str">
        <f t="shared" si="3"/>
        <v/>
      </c>
      <c r="E253" s="159" t="str">
        <f>IF(C253="","",_xlfn.XLOOKUP(C253,Legend!$A$10:$A$26,Legend!$C$10:$C$26,"NOT FOUND",0,1))</f>
        <v/>
      </c>
      <c r="F253" s="160" t="str">
        <f>IF(C253="","",_xlfn.XLOOKUP(D253,Legend!$A$29:$A$118,Legend!$B$29:$B$118,"NOT FOUND",0,1))</f>
        <v/>
      </c>
      <c r="G253" s="268" t="str">
        <f>IF(C253="","",_xlfn.XLOOKUP(D253,Legend!$A$29:$A$118,Legend!$C$29:$C$118,"NOT FOUND",0,1))</f>
        <v/>
      </c>
    </row>
    <row r="254" spans="1:7" x14ac:dyDescent="0.2">
      <c r="A254" s="3">
        <v>1</v>
      </c>
      <c r="C254" s="3" t="str">
        <f>IF(B254="","",IF(ISNUMBER(VALUE(_xlfn.TEXTBEFORE(B254," "))),_xlfn.XLOOKUP(VALUE(_xlfn.TEXTBEFORE(B254," ")),Legend!$B$11:$B$26,Legend!$A$11:$A$26,"NOT FOUND",0,1),_xlfn.TEXTBEFORE(B254," ")))</f>
        <v/>
      </c>
      <c r="D254" s="3" t="str">
        <f t="shared" si="3"/>
        <v/>
      </c>
      <c r="E254" s="159" t="str">
        <f>IF(C254="","",_xlfn.XLOOKUP(C254,Legend!$A$10:$A$26,Legend!$C$10:$C$26,"NOT FOUND",0,1))</f>
        <v/>
      </c>
      <c r="F254" s="160" t="str">
        <f>IF(C254="","",_xlfn.XLOOKUP(D254,Legend!$A$29:$A$118,Legend!$B$29:$B$118,"NOT FOUND",0,1))</f>
        <v/>
      </c>
      <c r="G254" s="268" t="str">
        <f>IF(C254="","",_xlfn.XLOOKUP(D254,Legend!$A$29:$A$118,Legend!$C$29:$C$118,"NOT FOUND",0,1))</f>
        <v/>
      </c>
    </row>
    <row r="255" spans="1:7" x14ac:dyDescent="0.2">
      <c r="A255" s="3">
        <v>1</v>
      </c>
      <c r="C255" s="3" t="str">
        <f>IF(B255="","",IF(ISNUMBER(VALUE(_xlfn.TEXTBEFORE(B255," "))),_xlfn.XLOOKUP(VALUE(_xlfn.TEXTBEFORE(B255," ")),Legend!$B$11:$B$26,Legend!$A$11:$A$26,"NOT FOUND",0,1),_xlfn.TEXTBEFORE(B255," ")))</f>
        <v/>
      </c>
      <c r="D255" s="3" t="str">
        <f t="shared" ref="D255:D318" si="4">IF(B255="","",_xlfn.TEXTAFTER(B255," "))</f>
        <v/>
      </c>
      <c r="E255" s="159" t="str">
        <f>IF(C255="","",_xlfn.XLOOKUP(C255,Legend!$A$10:$A$26,Legend!$C$10:$C$26,"NOT FOUND",0,1))</f>
        <v/>
      </c>
      <c r="F255" s="160" t="str">
        <f>IF(C255="","",_xlfn.XLOOKUP(D255,Legend!$A$29:$A$118,Legend!$B$29:$B$118,"NOT FOUND",0,1))</f>
        <v/>
      </c>
      <c r="G255" s="268" t="str">
        <f>IF(C255="","",_xlfn.XLOOKUP(D255,Legend!$A$29:$A$118,Legend!$C$29:$C$118,"NOT FOUND",0,1))</f>
        <v/>
      </c>
    </row>
    <row r="256" spans="1:7" x14ac:dyDescent="0.2">
      <c r="A256" s="3">
        <v>1</v>
      </c>
      <c r="C256" s="3" t="str">
        <f>IF(B256="","",IF(ISNUMBER(VALUE(_xlfn.TEXTBEFORE(B256," "))),_xlfn.XLOOKUP(VALUE(_xlfn.TEXTBEFORE(B256," ")),Legend!$B$11:$B$26,Legend!$A$11:$A$26,"NOT FOUND",0,1),_xlfn.TEXTBEFORE(B256," ")))</f>
        <v/>
      </c>
      <c r="D256" s="3" t="str">
        <f t="shared" si="4"/>
        <v/>
      </c>
      <c r="E256" s="159" t="str">
        <f>IF(C256="","",_xlfn.XLOOKUP(C256,Legend!$A$10:$A$26,Legend!$C$10:$C$26,"NOT FOUND",0,1))</f>
        <v/>
      </c>
      <c r="F256" s="160" t="str">
        <f>IF(C256="","",_xlfn.XLOOKUP(D256,Legend!$A$29:$A$118,Legend!$B$29:$B$118,"NOT FOUND",0,1))</f>
        <v/>
      </c>
      <c r="G256" s="268" t="str">
        <f>IF(C256="","",_xlfn.XLOOKUP(D256,Legend!$A$29:$A$118,Legend!$C$29:$C$118,"NOT FOUND",0,1))</f>
        <v/>
      </c>
    </row>
    <row r="257" spans="1:7" x14ac:dyDescent="0.2">
      <c r="A257" s="3">
        <v>1</v>
      </c>
      <c r="C257" s="3" t="str">
        <f>IF(B257="","",IF(ISNUMBER(VALUE(_xlfn.TEXTBEFORE(B257," "))),_xlfn.XLOOKUP(VALUE(_xlfn.TEXTBEFORE(B257," ")),Legend!$B$11:$B$26,Legend!$A$11:$A$26,"NOT FOUND",0,1),_xlfn.TEXTBEFORE(B257," ")))</f>
        <v/>
      </c>
      <c r="D257" s="3" t="str">
        <f t="shared" si="4"/>
        <v/>
      </c>
      <c r="E257" s="159" t="str">
        <f>IF(C257="","",_xlfn.XLOOKUP(C257,Legend!$A$10:$A$26,Legend!$C$10:$C$26,"NOT FOUND",0,1))</f>
        <v/>
      </c>
      <c r="F257" s="160" t="str">
        <f>IF(C257="","",_xlfn.XLOOKUP(D257,Legend!$A$29:$A$118,Legend!$B$29:$B$118,"NOT FOUND",0,1))</f>
        <v/>
      </c>
      <c r="G257" s="268" t="str">
        <f>IF(C257="","",_xlfn.XLOOKUP(D257,Legend!$A$29:$A$118,Legend!$C$29:$C$118,"NOT FOUND",0,1))</f>
        <v/>
      </c>
    </row>
    <row r="258" spans="1:7" x14ac:dyDescent="0.2">
      <c r="A258" s="3">
        <v>1</v>
      </c>
      <c r="C258" s="3" t="str">
        <f>IF(B258="","",IF(ISNUMBER(VALUE(_xlfn.TEXTBEFORE(B258," "))),_xlfn.XLOOKUP(VALUE(_xlfn.TEXTBEFORE(B258," ")),Legend!$B$11:$B$26,Legend!$A$11:$A$26,"NOT FOUND",0,1),_xlfn.TEXTBEFORE(B258," ")))</f>
        <v/>
      </c>
      <c r="D258" s="3" t="str">
        <f t="shared" si="4"/>
        <v/>
      </c>
      <c r="E258" s="159" t="str">
        <f>IF(C258="","",_xlfn.XLOOKUP(C258,Legend!$A$10:$A$26,Legend!$C$10:$C$26,"NOT FOUND",0,1))</f>
        <v/>
      </c>
      <c r="F258" s="160" t="str">
        <f>IF(C258="","",_xlfn.XLOOKUP(D258,Legend!$A$29:$A$118,Legend!$B$29:$B$118,"NOT FOUND",0,1))</f>
        <v/>
      </c>
      <c r="G258" s="268" t="str">
        <f>IF(C258="","",_xlfn.XLOOKUP(D258,Legend!$A$29:$A$118,Legend!$C$29:$C$118,"NOT FOUND",0,1))</f>
        <v/>
      </c>
    </row>
    <row r="259" spans="1:7" x14ac:dyDescent="0.2">
      <c r="A259" s="3">
        <v>1</v>
      </c>
      <c r="C259" s="3" t="str">
        <f>IF(B259="","",IF(ISNUMBER(VALUE(_xlfn.TEXTBEFORE(B259," "))),_xlfn.XLOOKUP(VALUE(_xlfn.TEXTBEFORE(B259," ")),Legend!$B$11:$B$26,Legend!$A$11:$A$26,"NOT FOUND",0,1),_xlfn.TEXTBEFORE(B259," ")))</f>
        <v/>
      </c>
      <c r="D259" s="3" t="str">
        <f t="shared" si="4"/>
        <v/>
      </c>
      <c r="E259" s="159" t="str">
        <f>IF(C259="","",_xlfn.XLOOKUP(C259,Legend!$A$10:$A$26,Legend!$C$10:$C$26,"NOT FOUND",0,1))</f>
        <v/>
      </c>
      <c r="F259" s="160" t="str">
        <f>IF(C259="","",_xlfn.XLOOKUP(D259,Legend!$A$29:$A$118,Legend!$B$29:$B$118,"NOT FOUND",0,1))</f>
        <v/>
      </c>
      <c r="G259" s="268" t="str">
        <f>IF(C259="","",_xlfn.XLOOKUP(D259,Legend!$A$29:$A$118,Legend!$C$29:$C$118,"NOT FOUND",0,1))</f>
        <v/>
      </c>
    </row>
    <row r="260" spans="1:7" x14ac:dyDescent="0.2">
      <c r="A260" s="3">
        <v>1</v>
      </c>
      <c r="C260" s="3" t="str">
        <f>IF(B260="","",IF(ISNUMBER(VALUE(_xlfn.TEXTBEFORE(B260," "))),_xlfn.XLOOKUP(VALUE(_xlfn.TEXTBEFORE(B260," ")),Legend!$B$11:$B$26,Legend!$A$11:$A$26,"NOT FOUND",0,1),_xlfn.TEXTBEFORE(B260," ")))</f>
        <v/>
      </c>
      <c r="D260" s="3" t="str">
        <f t="shared" si="4"/>
        <v/>
      </c>
      <c r="E260" s="159" t="str">
        <f>IF(C260="","",_xlfn.XLOOKUP(C260,Legend!$A$10:$A$26,Legend!$C$10:$C$26,"NOT FOUND",0,1))</f>
        <v/>
      </c>
      <c r="F260" s="160" t="str">
        <f>IF(C260="","",_xlfn.XLOOKUP(D260,Legend!$A$29:$A$118,Legend!$B$29:$B$118,"NOT FOUND",0,1))</f>
        <v/>
      </c>
      <c r="G260" s="268" t="str">
        <f>IF(C260="","",_xlfn.XLOOKUP(D260,Legend!$A$29:$A$118,Legend!$C$29:$C$118,"NOT FOUND",0,1))</f>
        <v/>
      </c>
    </row>
    <row r="261" spans="1:7" x14ac:dyDescent="0.2">
      <c r="A261" s="3">
        <v>1</v>
      </c>
      <c r="C261" s="3" t="str">
        <f>IF(B261="","",IF(ISNUMBER(VALUE(_xlfn.TEXTBEFORE(B261," "))),_xlfn.XLOOKUP(VALUE(_xlfn.TEXTBEFORE(B261," ")),Legend!$B$11:$B$26,Legend!$A$11:$A$26,"NOT FOUND",0,1),_xlfn.TEXTBEFORE(B261," ")))</f>
        <v/>
      </c>
      <c r="D261" s="3" t="str">
        <f t="shared" si="4"/>
        <v/>
      </c>
      <c r="E261" s="159" t="str">
        <f>IF(C261="","",_xlfn.XLOOKUP(C261,Legend!$A$10:$A$26,Legend!$C$10:$C$26,"NOT FOUND",0,1))</f>
        <v/>
      </c>
      <c r="F261" s="160" t="str">
        <f>IF(C261="","",_xlfn.XLOOKUP(D261,Legend!$A$29:$A$118,Legend!$B$29:$B$118,"NOT FOUND",0,1))</f>
        <v/>
      </c>
      <c r="G261" s="268" t="str">
        <f>IF(C261="","",_xlfn.XLOOKUP(D261,Legend!$A$29:$A$118,Legend!$C$29:$C$118,"NOT FOUND",0,1))</f>
        <v/>
      </c>
    </row>
    <row r="262" spans="1:7" x14ac:dyDescent="0.2">
      <c r="A262" s="3">
        <v>1</v>
      </c>
      <c r="C262" s="3" t="str">
        <f>IF(B262="","",IF(ISNUMBER(VALUE(_xlfn.TEXTBEFORE(B262," "))),_xlfn.XLOOKUP(VALUE(_xlfn.TEXTBEFORE(B262," ")),Legend!$B$11:$B$26,Legend!$A$11:$A$26,"NOT FOUND",0,1),_xlfn.TEXTBEFORE(B262," ")))</f>
        <v/>
      </c>
      <c r="D262" s="3" t="str">
        <f t="shared" si="4"/>
        <v/>
      </c>
      <c r="E262" s="159" t="str">
        <f>IF(C262="","",_xlfn.XLOOKUP(C262,Legend!$A$10:$A$26,Legend!$C$10:$C$26,"NOT FOUND",0,1))</f>
        <v/>
      </c>
      <c r="F262" s="160" t="str">
        <f>IF(C262="","",_xlfn.XLOOKUP(D262,Legend!$A$29:$A$118,Legend!$B$29:$B$118,"NOT FOUND",0,1))</f>
        <v/>
      </c>
      <c r="G262" s="268" t="str">
        <f>IF(C262="","",_xlfn.XLOOKUP(D262,Legend!$A$29:$A$118,Legend!$C$29:$C$118,"NOT FOUND",0,1))</f>
        <v/>
      </c>
    </row>
    <row r="263" spans="1:7" x14ac:dyDescent="0.2">
      <c r="A263" s="3">
        <v>1</v>
      </c>
      <c r="C263" s="3" t="str">
        <f>IF(B263="","",IF(ISNUMBER(VALUE(_xlfn.TEXTBEFORE(B263," "))),_xlfn.XLOOKUP(VALUE(_xlfn.TEXTBEFORE(B263," ")),Legend!$B$11:$B$26,Legend!$A$11:$A$26,"NOT FOUND",0,1),_xlfn.TEXTBEFORE(B263," ")))</f>
        <v/>
      </c>
      <c r="D263" s="3" t="str">
        <f t="shared" si="4"/>
        <v/>
      </c>
      <c r="E263" s="159" t="str">
        <f>IF(C263="","",_xlfn.XLOOKUP(C263,Legend!$A$10:$A$26,Legend!$C$10:$C$26,"NOT FOUND",0,1))</f>
        <v/>
      </c>
      <c r="F263" s="160" t="str">
        <f>IF(C263="","",_xlfn.XLOOKUP(D263,Legend!$A$29:$A$118,Legend!$B$29:$B$118,"NOT FOUND",0,1))</f>
        <v/>
      </c>
      <c r="G263" s="268" t="str">
        <f>IF(C263="","",_xlfn.XLOOKUP(D263,Legend!$A$29:$A$118,Legend!$C$29:$C$118,"NOT FOUND",0,1))</f>
        <v/>
      </c>
    </row>
    <row r="264" spans="1:7" x14ac:dyDescent="0.2">
      <c r="A264" s="3">
        <v>1</v>
      </c>
      <c r="C264" s="3" t="str">
        <f>IF(B264="","",IF(ISNUMBER(VALUE(_xlfn.TEXTBEFORE(B264," "))),_xlfn.XLOOKUP(VALUE(_xlfn.TEXTBEFORE(B264," ")),Legend!$B$11:$B$26,Legend!$A$11:$A$26,"NOT FOUND",0,1),_xlfn.TEXTBEFORE(B264," ")))</f>
        <v/>
      </c>
      <c r="D264" s="3" t="str">
        <f t="shared" si="4"/>
        <v/>
      </c>
      <c r="E264" s="159" t="str">
        <f>IF(C264="","",_xlfn.XLOOKUP(C264,Legend!$A$10:$A$26,Legend!$C$10:$C$26,"NOT FOUND",0,1))</f>
        <v/>
      </c>
      <c r="F264" s="160" t="str">
        <f>IF(C264="","",_xlfn.XLOOKUP(D264,Legend!$A$29:$A$118,Legend!$B$29:$B$118,"NOT FOUND",0,1))</f>
        <v/>
      </c>
      <c r="G264" s="268" t="str">
        <f>IF(C264="","",_xlfn.XLOOKUP(D264,Legend!$A$29:$A$118,Legend!$C$29:$C$118,"NOT FOUND",0,1))</f>
        <v/>
      </c>
    </row>
    <row r="265" spans="1:7" x14ac:dyDescent="0.2">
      <c r="A265" s="3">
        <v>1</v>
      </c>
      <c r="C265" s="3" t="str">
        <f>IF(B265="","",IF(ISNUMBER(VALUE(_xlfn.TEXTBEFORE(B265," "))),_xlfn.XLOOKUP(VALUE(_xlfn.TEXTBEFORE(B265," ")),Legend!$B$11:$B$26,Legend!$A$11:$A$26,"NOT FOUND",0,1),_xlfn.TEXTBEFORE(B265," ")))</f>
        <v/>
      </c>
      <c r="D265" s="3" t="str">
        <f t="shared" si="4"/>
        <v/>
      </c>
      <c r="E265" s="159" t="str">
        <f>IF(C265="","",_xlfn.XLOOKUP(C265,Legend!$A$10:$A$26,Legend!$C$10:$C$26,"NOT FOUND",0,1))</f>
        <v/>
      </c>
      <c r="F265" s="160" t="str">
        <f>IF(C265="","",_xlfn.XLOOKUP(D265,Legend!$A$29:$A$118,Legend!$B$29:$B$118,"NOT FOUND",0,1))</f>
        <v/>
      </c>
      <c r="G265" s="268" t="str">
        <f>IF(C265="","",_xlfn.XLOOKUP(D265,Legend!$A$29:$A$118,Legend!$C$29:$C$118,"NOT FOUND",0,1))</f>
        <v/>
      </c>
    </row>
    <row r="266" spans="1:7" x14ac:dyDescent="0.2">
      <c r="A266" s="3">
        <v>1</v>
      </c>
      <c r="C266" s="3" t="str">
        <f>IF(B266="","",IF(ISNUMBER(VALUE(_xlfn.TEXTBEFORE(B266," "))),_xlfn.XLOOKUP(VALUE(_xlfn.TEXTBEFORE(B266," ")),Legend!$B$11:$B$26,Legend!$A$11:$A$26,"NOT FOUND",0,1),_xlfn.TEXTBEFORE(B266," ")))</f>
        <v/>
      </c>
      <c r="D266" s="3" t="str">
        <f t="shared" si="4"/>
        <v/>
      </c>
      <c r="E266" s="159" t="str">
        <f>IF(C266="","",_xlfn.XLOOKUP(C266,Legend!$A$10:$A$26,Legend!$C$10:$C$26,"NOT FOUND",0,1))</f>
        <v/>
      </c>
      <c r="F266" s="160" t="str">
        <f>IF(C266="","",_xlfn.XLOOKUP(D266,Legend!$A$29:$A$118,Legend!$B$29:$B$118,"NOT FOUND",0,1))</f>
        <v/>
      </c>
      <c r="G266" s="268" t="str">
        <f>IF(C266="","",_xlfn.XLOOKUP(D266,Legend!$A$29:$A$118,Legend!$C$29:$C$118,"NOT FOUND",0,1))</f>
        <v/>
      </c>
    </row>
    <row r="267" spans="1:7" x14ac:dyDescent="0.2">
      <c r="A267" s="3">
        <v>1</v>
      </c>
      <c r="C267" s="3" t="str">
        <f>IF(B267="","",IF(ISNUMBER(VALUE(_xlfn.TEXTBEFORE(B267," "))),_xlfn.XLOOKUP(VALUE(_xlfn.TEXTBEFORE(B267," ")),Legend!$B$11:$B$26,Legend!$A$11:$A$26,"NOT FOUND",0,1),_xlfn.TEXTBEFORE(B267," ")))</f>
        <v/>
      </c>
      <c r="D267" s="3" t="str">
        <f t="shared" si="4"/>
        <v/>
      </c>
      <c r="E267" s="159" t="str">
        <f>IF(C267="","",_xlfn.XLOOKUP(C267,Legend!$A$10:$A$26,Legend!$C$10:$C$26,"NOT FOUND",0,1))</f>
        <v/>
      </c>
      <c r="F267" s="160" t="str">
        <f>IF(C267="","",_xlfn.XLOOKUP(D267,Legend!$A$29:$A$118,Legend!$B$29:$B$118,"NOT FOUND",0,1))</f>
        <v/>
      </c>
      <c r="G267" s="268" t="str">
        <f>IF(C267="","",_xlfn.XLOOKUP(D267,Legend!$A$29:$A$118,Legend!$C$29:$C$118,"NOT FOUND",0,1))</f>
        <v/>
      </c>
    </row>
    <row r="268" spans="1:7" x14ac:dyDescent="0.2">
      <c r="A268" s="3">
        <v>1</v>
      </c>
      <c r="C268" s="3" t="str">
        <f>IF(B268="","",IF(ISNUMBER(VALUE(_xlfn.TEXTBEFORE(B268," "))),_xlfn.XLOOKUP(VALUE(_xlfn.TEXTBEFORE(B268," ")),Legend!$B$11:$B$26,Legend!$A$11:$A$26,"NOT FOUND",0,1),_xlfn.TEXTBEFORE(B268," ")))</f>
        <v/>
      </c>
      <c r="D268" s="3" t="str">
        <f t="shared" si="4"/>
        <v/>
      </c>
      <c r="E268" s="159" t="str">
        <f>IF(C268="","",_xlfn.XLOOKUP(C268,Legend!$A$10:$A$26,Legend!$C$10:$C$26,"NOT FOUND",0,1))</f>
        <v/>
      </c>
      <c r="F268" s="160" t="str">
        <f>IF(C268="","",_xlfn.XLOOKUP(D268,Legend!$A$29:$A$118,Legend!$B$29:$B$118,"NOT FOUND",0,1))</f>
        <v/>
      </c>
      <c r="G268" s="268" t="str">
        <f>IF(C268="","",_xlfn.XLOOKUP(D268,Legend!$A$29:$A$118,Legend!$C$29:$C$118,"NOT FOUND",0,1))</f>
        <v/>
      </c>
    </row>
    <row r="269" spans="1:7" x14ac:dyDescent="0.2">
      <c r="A269" s="3">
        <v>1</v>
      </c>
      <c r="C269" s="3" t="str">
        <f>IF(B269="","",IF(ISNUMBER(VALUE(_xlfn.TEXTBEFORE(B269," "))),_xlfn.XLOOKUP(VALUE(_xlfn.TEXTBEFORE(B269," ")),Legend!$B$11:$B$26,Legend!$A$11:$A$26,"NOT FOUND",0,1),_xlfn.TEXTBEFORE(B269," ")))</f>
        <v/>
      </c>
      <c r="D269" s="3" t="str">
        <f t="shared" si="4"/>
        <v/>
      </c>
      <c r="E269" s="159" t="str">
        <f>IF(C269="","",_xlfn.XLOOKUP(C269,Legend!$A$10:$A$26,Legend!$C$10:$C$26,"NOT FOUND",0,1))</f>
        <v/>
      </c>
      <c r="F269" s="160" t="str">
        <f>IF(C269="","",_xlfn.XLOOKUP(D269,Legend!$A$29:$A$118,Legend!$B$29:$B$118,"NOT FOUND",0,1))</f>
        <v/>
      </c>
      <c r="G269" s="268" t="str">
        <f>IF(C269="","",_xlfn.XLOOKUP(D269,Legend!$A$29:$A$118,Legend!$C$29:$C$118,"NOT FOUND",0,1))</f>
        <v/>
      </c>
    </row>
    <row r="270" spans="1:7" x14ac:dyDescent="0.2">
      <c r="A270" s="3">
        <v>1</v>
      </c>
      <c r="C270" s="3" t="str">
        <f>IF(B270="","",IF(ISNUMBER(VALUE(_xlfn.TEXTBEFORE(B270," "))),_xlfn.XLOOKUP(VALUE(_xlfn.TEXTBEFORE(B270," ")),Legend!$B$11:$B$26,Legend!$A$11:$A$26,"NOT FOUND",0,1),_xlfn.TEXTBEFORE(B270," ")))</f>
        <v/>
      </c>
      <c r="D270" s="3" t="str">
        <f t="shared" si="4"/>
        <v/>
      </c>
      <c r="E270" s="159" t="str">
        <f>IF(C270="","",_xlfn.XLOOKUP(C270,Legend!$A$10:$A$26,Legend!$C$10:$C$26,"NOT FOUND",0,1))</f>
        <v/>
      </c>
      <c r="F270" s="160" t="str">
        <f>IF(C270="","",_xlfn.XLOOKUP(D270,Legend!$A$29:$A$118,Legend!$B$29:$B$118,"NOT FOUND",0,1))</f>
        <v/>
      </c>
      <c r="G270" s="268" t="str">
        <f>IF(C270="","",_xlfn.XLOOKUP(D270,Legend!$A$29:$A$118,Legend!$C$29:$C$118,"NOT FOUND",0,1))</f>
        <v/>
      </c>
    </row>
    <row r="271" spans="1:7" x14ac:dyDescent="0.2">
      <c r="A271" s="3">
        <v>1</v>
      </c>
      <c r="C271" s="3" t="str">
        <f>IF(B271="","",IF(ISNUMBER(VALUE(_xlfn.TEXTBEFORE(B271," "))),_xlfn.XLOOKUP(VALUE(_xlfn.TEXTBEFORE(B271," ")),Legend!$B$11:$B$26,Legend!$A$11:$A$26,"NOT FOUND",0,1),_xlfn.TEXTBEFORE(B271," ")))</f>
        <v/>
      </c>
      <c r="D271" s="3" t="str">
        <f t="shared" si="4"/>
        <v/>
      </c>
      <c r="E271" s="159" t="str">
        <f>IF(C271="","",_xlfn.XLOOKUP(C271,Legend!$A$10:$A$26,Legend!$C$10:$C$26,"NOT FOUND",0,1))</f>
        <v/>
      </c>
      <c r="F271" s="160" t="str">
        <f>IF(C271="","",_xlfn.XLOOKUP(D271,Legend!$A$29:$A$118,Legend!$B$29:$B$118,"NOT FOUND",0,1))</f>
        <v/>
      </c>
      <c r="G271" s="268" t="str">
        <f>IF(C271="","",_xlfn.XLOOKUP(D271,Legend!$A$29:$A$118,Legend!$C$29:$C$118,"NOT FOUND",0,1))</f>
        <v/>
      </c>
    </row>
    <row r="272" spans="1:7" x14ac:dyDescent="0.2">
      <c r="A272" s="3">
        <v>1</v>
      </c>
      <c r="C272" s="3" t="str">
        <f>IF(B272="","",IF(ISNUMBER(VALUE(_xlfn.TEXTBEFORE(B272," "))),_xlfn.XLOOKUP(VALUE(_xlfn.TEXTBEFORE(B272," ")),Legend!$B$11:$B$26,Legend!$A$11:$A$26,"NOT FOUND",0,1),_xlfn.TEXTBEFORE(B272," ")))</f>
        <v/>
      </c>
      <c r="D272" s="3" t="str">
        <f t="shared" si="4"/>
        <v/>
      </c>
      <c r="E272" s="159" t="str">
        <f>IF(C272="","",_xlfn.XLOOKUP(C272,Legend!$A$10:$A$26,Legend!$C$10:$C$26,"NOT FOUND",0,1))</f>
        <v/>
      </c>
      <c r="F272" s="160" t="str">
        <f>IF(C272="","",_xlfn.XLOOKUP(D272,Legend!$A$29:$A$118,Legend!$B$29:$B$118,"NOT FOUND",0,1))</f>
        <v/>
      </c>
      <c r="G272" s="268" t="str">
        <f>IF(C272="","",_xlfn.XLOOKUP(D272,Legend!$A$29:$A$118,Legend!$C$29:$C$118,"NOT FOUND",0,1))</f>
        <v/>
      </c>
    </row>
    <row r="273" spans="1:7" x14ac:dyDescent="0.2">
      <c r="A273" s="3">
        <v>1</v>
      </c>
      <c r="C273" s="3" t="str">
        <f>IF(B273="","",IF(ISNUMBER(VALUE(_xlfn.TEXTBEFORE(B273," "))),_xlfn.XLOOKUP(VALUE(_xlfn.TEXTBEFORE(B273," ")),Legend!$B$11:$B$26,Legend!$A$11:$A$26,"NOT FOUND",0,1),_xlfn.TEXTBEFORE(B273," ")))</f>
        <v/>
      </c>
      <c r="D273" s="3" t="str">
        <f t="shared" si="4"/>
        <v/>
      </c>
      <c r="E273" s="159" t="str">
        <f>IF(C273="","",_xlfn.XLOOKUP(C273,Legend!$A$10:$A$26,Legend!$C$10:$C$26,"NOT FOUND",0,1))</f>
        <v/>
      </c>
      <c r="F273" s="160" t="str">
        <f>IF(C273="","",_xlfn.XLOOKUP(D273,Legend!$A$29:$A$118,Legend!$B$29:$B$118,"NOT FOUND",0,1))</f>
        <v/>
      </c>
      <c r="G273" s="268" t="str">
        <f>IF(C273="","",_xlfn.XLOOKUP(D273,Legend!$A$29:$A$118,Legend!$C$29:$C$118,"NOT FOUND",0,1))</f>
        <v/>
      </c>
    </row>
    <row r="274" spans="1:7" x14ac:dyDescent="0.2">
      <c r="A274" s="3">
        <v>1</v>
      </c>
      <c r="C274" s="3" t="str">
        <f>IF(B274="","",IF(ISNUMBER(VALUE(_xlfn.TEXTBEFORE(B274," "))),_xlfn.XLOOKUP(VALUE(_xlfn.TEXTBEFORE(B274," ")),Legend!$B$11:$B$26,Legend!$A$11:$A$26,"NOT FOUND",0,1),_xlfn.TEXTBEFORE(B274," ")))</f>
        <v/>
      </c>
      <c r="D274" s="3" t="str">
        <f t="shared" si="4"/>
        <v/>
      </c>
      <c r="E274" s="159" t="str">
        <f>IF(C274="","",_xlfn.XLOOKUP(C274,Legend!$A$10:$A$26,Legend!$C$10:$C$26,"NOT FOUND",0,1))</f>
        <v/>
      </c>
      <c r="F274" s="160" t="str">
        <f>IF(C274="","",_xlfn.XLOOKUP(D274,Legend!$A$29:$A$118,Legend!$B$29:$B$118,"NOT FOUND",0,1))</f>
        <v/>
      </c>
      <c r="G274" s="268" t="str">
        <f>IF(C274="","",_xlfn.XLOOKUP(D274,Legend!$A$29:$A$118,Legend!$C$29:$C$118,"NOT FOUND",0,1))</f>
        <v/>
      </c>
    </row>
    <row r="275" spans="1:7" x14ac:dyDescent="0.2">
      <c r="A275" s="3">
        <v>1</v>
      </c>
      <c r="C275" s="3" t="str">
        <f>IF(B275="","",IF(ISNUMBER(VALUE(_xlfn.TEXTBEFORE(B275," "))),_xlfn.XLOOKUP(VALUE(_xlfn.TEXTBEFORE(B275," ")),Legend!$B$11:$B$26,Legend!$A$11:$A$26,"NOT FOUND",0,1),_xlfn.TEXTBEFORE(B275," ")))</f>
        <v/>
      </c>
      <c r="D275" s="3" t="str">
        <f t="shared" si="4"/>
        <v/>
      </c>
      <c r="E275" s="159" t="str">
        <f>IF(C275="","",_xlfn.XLOOKUP(C275,Legend!$A$10:$A$26,Legend!$C$10:$C$26,"NOT FOUND",0,1))</f>
        <v/>
      </c>
      <c r="F275" s="160" t="str">
        <f>IF(C275="","",_xlfn.XLOOKUP(D275,Legend!$A$29:$A$118,Legend!$B$29:$B$118,"NOT FOUND",0,1))</f>
        <v/>
      </c>
      <c r="G275" s="268" t="str">
        <f>IF(C275="","",_xlfn.XLOOKUP(D275,Legend!$A$29:$A$118,Legend!$C$29:$C$118,"NOT FOUND",0,1))</f>
        <v/>
      </c>
    </row>
    <row r="276" spans="1:7" x14ac:dyDescent="0.2">
      <c r="A276" s="3">
        <v>1</v>
      </c>
      <c r="C276" s="3" t="str">
        <f>IF(B276="","",IF(ISNUMBER(VALUE(_xlfn.TEXTBEFORE(B276," "))),_xlfn.XLOOKUP(VALUE(_xlfn.TEXTBEFORE(B276," ")),Legend!$B$11:$B$26,Legend!$A$11:$A$26,"NOT FOUND",0,1),_xlfn.TEXTBEFORE(B276," ")))</f>
        <v/>
      </c>
      <c r="D276" s="3" t="str">
        <f t="shared" si="4"/>
        <v/>
      </c>
      <c r="E276" s="159" t="str">
        <f>IF(C276="","",_xlfn.XLOOKUP(C276,Legend!$A$10:$A$26,Legend!$C$10:$C$26,"NOT FOUND",0,1))</f>
        <v/>
      </c>
      <c r="F276" s="160" t="str">
        <f>IF(C276="","",_xlfn.XLOOKUP(D276,Legend!$A$29:$A$118,Legend!$B$29:$B$118,"NOT FOUND",0,1))</f>
        <v/>
      </c>
      <c r="G276" s="268" t="str">
        <f>IF(C276="","",_xlfn.XLOOKUP(D276,Legend!$A$29:$A$118,Legend!$C$29:$C$118,"NOT FOUND",0,1))</f>
        <v/>
      </c>
    </row>
    <row r="277" spans="1:7" x14ac:dyDescent="0.2">
      <c r="A277" s="3">
        <v>1</v>
      </c>
      <c r="C277" s="3" t="str">
        <f>IF(B277="","",IF(ISNUMBER(VALUE(_xlfn.TEXTBEFORE(B277," "))),_xlfn.XLOOKUP(VALUE(_xlfn.TEXTBEFORE(B277," ")),Legend!$B$11:$B$26,Legend!$A$11:$A$26,"NOT FOUND",0,1),_xlfn.TEXTBEFORE(B277," ")))</f>
        <v/>
      </c>
      <c r="D277" s="3" t="str">
        <f t="shared" si="4"/>
        <v/>
      </c>
      <c r="E277" s="159" t="str">
        <f>IF(C277="","",_xlfn.XLOOKUP(C277,Legend!$A$10:$A$26,Legend!$C$10:$C$26,"NOT FOUND",0,1))</f>
        <v/>
      </c>
      <c r="F277" s="160" t="str">
        <f>IF(C277="","",_xlfn.XLOOKUP(D277,Legend!$A$29:$A$118,Legend!$B$29:$B$118,"NOT FOUND",0,1))</f>
        <v/>
      </c>
      <c r="G277" s="268" t="str">
        <f>IF(C277="","",_xlfn.XLOOKUP(D277,Legend!$A$29:$A$118,Legend!$C$29:$C$118,"NOT FOUND",0,1))</f>
        <v/>
      </c>
    </row>
    <row r="278" spans="1:7" x14ac:dyDescent="0.2">
      <c r="A278" s="3">
        <v>1</v>
      </c>
      <c r="C278" s="3" t="str">
        <f>IF(B278="","",IF(ISNUMBER(VALUE(_xlfn.TEXTBEFORE(B278," "))),_xlfn.XLOOKUP(VALUE(_xlfn.TEXTBEFORE(B278," ")),Legend!$B$11:$B$26,Legend!$A$11:$A$26,"NOT FOUND",0,1),_xlfn.TEXTBEFORE(B278," ")))</f>
        <v/>
      </c>
      <c r="D278" s="3" t="str">
        <f t="shared" si="4"/>
        <v/>
      </c>
      <c r="E278" s="159" t="str">
        <f>IF(C278="","",_xlfn.XLOOKUP(C278,Legend!$A$10:$A$26,Legend!$C$10:$C$26,"NOT FOUND",0,1))</f>
        <v/>
      </c>
      <c r="F278" s="160" t="str">
        <f>IF(C278="","",_xlfn.XLOOKUP(D278,Legend!$A$29:$A$118,Legend!$B$29:$B$118,"NOT FOUND",0,1))</f>
        <v/>
      </c>
      <c r="G278" s="268" t="str">
        <f>IF(C278="","",_xlfn.XLOOKUP(D278,Legend!$A$29:$A$118,Legend!$C$29:$C$118,"NOT FOUND",0,1))</f>
        <v/>
      </c>
    </row>
    <row r="279" spans="1:7" x14ac:dyDescent="0.2">
      <c r="A279" s="3">
        <v>1</v>
      </c>
      <c r="C279" s="3" t="str">
        <f>IF(B279="","",IF(ISNUMBER(VALUE(_xlfn.TEXTBEFORE(B279," "))),_xlfn.XLOOKUP(VALUE(_xlfn.TEXTBEFORE(B279," ")),Legend!$B$11:$B$26,Legend!$A$11:$A$26,"NOT FOUND",0,1),_xlfn.TEXTBEFORE(B279," ")))</f>
        <v/>
      </c>
      <c r="D279" s="3" t="str">
        <f t="shared" si="4"/>
        <v/>
      </c>
      <c r="E279" s="159" t="str">
        <f>IF(C279="","",_xlfn.XLOOKUP(C279,Legend!$A$10:$A$26,Legend!$C$10:$C$26,"NOT FOUND",0,1))</f>
        <v/>
      </c>
      <c r="F279" s="160" t="str">
        <f>IF(C279="","",_xlfn.XLOOKUP(D279,Legend!$A$29:$A$118,Legend!$B$29:$B$118,"NOT FOUND",0,1))</f>
        <v/>
      </c>
      <c r="G279" s="268" t="str">
        <f>IF(C279="","",_xlfn.XLOOKUP(D279,Legend!$A$29:$A$118,Legend!$C$29:$C$118,"NOT FOUND",0,1))</f>
        <v/>
      </c>
    </row>
    <row r="280" spans="1:7" x14ac:dyDescent="0.2">
      <c r="A280" s="3">
        <v>1</v>
      </c>
      <c r="C280" s="3" t="str">
        <f>IF(B280="","",IF(ISNUMBER(VALUE(_xlfn.TEXTBEFORE(B280," "))),_xlfn.XLOOKUP(VALUE(_xlfn.TEXTBEFORE(B280," ")),Legend!$B$11:$B$26,Legend!$A$11:$A$26,"NOT FOUND",0,1),_xlfn.TEXTBEFORE(B280," ")))</f>
        <v/>
      </c>
      <c r="D280" s="3" t="str">
        <f t="shared" si="4"/>
        <v/>
      </c>
      <c r="E280" s="159" t="str">
        <f>IF(C280="","",_xlfn.XLOOKUP(C280,Legend!$A$10:$A$26,Legend!$C$10:$C$26,"NOT FOUND",0,1))</f>
        <v/>
      </c>
      <c r="F280" s="160" t="str">
        <f>IF(C280="","",_xlfn.XLOOKUP(D280,Legend!$A$29:$A$118,Legend!$B$29:$B$118,"NOT FOUND",0,1))</f>
        <v/>
      </c>
      <c r="G280" s="268" t="str">
        <f>IF(C280="","",_xlfn.XLOOKUP(D280,Legend!$A$29:$A$118,Legend!$C$29:$C$118,"NOT FOUND",0,1))</f>
        <v/>
      </c>
    </row>
    <row r="281" spans="1:7" x14ac:dyDescent="0.2">
      <c r="A281" s="3">
        <v>1</v>
      </c>
      <c r="C281" s="3" t="str">
        <f>IF(B281="","",IF(ISNUMBER(VALUE(_xlfn.TEXTBEFORE(B281," "))),_xlfn.XLOOKUP(VALUE(_xlfn.TEXTBEFORE(B281," ")),Legend!$B$11:$B$26,Legend!$A$11:$A$26,"NOT FOUND",0,1),_xlfn.TEXTBEFORE(B281," ")))</f>
        <v/>
      </c>
      <c r="D281" s="3" t="str">
        <f t="shared" si="4"/>
        <v/>
      </c>
      <c r="E281" s="159" t="str">
        <f>IF(C281="","",_xlfn.XLOOKUP(C281,Legend!$A$10:$A$26,Legend!$C$10:$C$26,"NOT FOUND",0,1))</f>
        <v/>
      </c>
      <c r="F281" s="160" t="str">
        <f>IF(C281="","",_xlfn.XLOOKUP(D281,Legend!$A$29:$A$118,Legend!$B$29:$B$118,"NOT FOUND",0,1))</f>
        <v/>
      </c>
      <c r="G281" s="268" t="str">
        <f>IF(C281="","",_xlfn.XLOOKUP(D281,Legend!$A$29:$A$118,Legend!$C$29:$C$118,"NOT FOUND",0,1))</f>
        <v/>
      </c>
    </row>
    <row r="282" spans="1:7" x14ac:dyDescent="0.2">
      <c r="A282" s="3">
        <v>1</v>
      </c>
      <c r="C282" s="3" t="str">
        <f>IF(B282="","",IF(ISNUMBER(VALUE(_xlfn.TEXTBEFORE(B282," "))),_xlfn.XLOOKUP(VALUE(_xlfn.TEXTBEFORE(B282," ")),Legend!$B$11:$B$26,Legend!$A$11:$A$26,"NOT FOUND",0,1),_xlfn.TEXTBEFORE(B282," ")))</f>
        <v/>
      </c>
      <c r="D282" s="3" t="str">
        <f t="shared" si="4"/>
        <v/>
      </c>
      <c r="E282" s="159" t="str">
        <f>IF(C282="","",_xlfn.XLOOKUP(C282,Legend!$A$10:$A$26,Legend!$C$10:$C$26,"NOT FOUND",0,1))</f>
        <v/>
      </c>
      <c r="F282" s="160" t="str">
        <f>IF(C282="","",_xlfn.XLOOKUP(D282,Legend!$A$29:$A$118,Legend!$B$29:$B$118,"NOT FOUND",0,1))</f>
        <v/>
      </c>
      <c r="G282" s="268" t="str">
        <f>IF(C282="","",_xlfn.XLOOKUP(D282,Legend!$A$29:$A$118,Legend!$C$29:$C$118,"NOT FOUND",0,1))</f>
        <v/>
      </c>
    </row>
    <row r="283" spans="1:7" x14ac:dyDescent="0.2">
      <c r="A283" s="3">
        <v>1</v>
      </c>
      <c r="C283" s="3" t="str">
        <f>IF(B283="","",IF(ISNUMBER(VALUE(_xlfn.TEXTBEFORE(B283," "))),_xlfn.XLOOKUP(VALUE(_xlfn.TEXTBEFORE(B283," ")),Legend!$B$11:$B$26,Legend!$A$11:$A$26,"NOT FOUND",0,1),_xlfn.TEXTBEFORE(B283," ")))</f>
        <v/>
      </c>
      <c r="D283" s="3" t="str">
        <f t="shared" si="4"/>
        <v/>
      </c>
      <c r="E283" s="159" t="str">
        <f>IF(C283="","",_xlfn.XLOOKUP(C283,Legend!$A$10:$A$26,Legend!$C$10:$C$26,"NOT FOUND",0,1))</f>
        <v/>
      </c>
      <c r="F283" s="160" t="str">
        <f>IF(C283="","",_xlfn.XLOOKUP(D283,Legend!$A$29:$A$118,Legend!$B$29:$B$118,"NOT FOUND",0,1))</f>
        <v/>
      </c>
      <c r="G283" s="268" t="str">
        <f>IF(C283="","",_xlfn.XLOOKUP(D283,Legend!$A$29:$A$118,Legend!$C$29:$C$118,"NOT FOUND",0,1))</f>
        <v/>
      </c>
    </row>
    <row r="284" spans="1:7" x14ac:dyDescent="0.2">
      <c r="A284" s="3">
        <v>1</v>
      </c>
      <c r="C284" s="3" t="str">
        <f>IF(B284="","",IF(ISNUMBER(VALUE(_xlfn.TEXTBEFORE(B284," "))),_xlfn.XLOOKUP(VALUE(_xlfn.TEXTBEFORE(B284," ")),Legend!$B$11:$B$26,Legend!$A$11:$A$26,"NOT FOUND",0,1),_xlfn.TEXTBEFORE(B284," ")))</f>
        <v/>
      </c>
      <c r="D284" s="3" t="str">
        <f t="shared" si="4"/>
        <v/>
      </c>
      <c r="E284" s="159" t="str">
        <f>IF(C284="","",_xlfn.XLOOKUP(C284,Legend!$A$10:$A$26,Legend!$C$10:$C$26,"NOT FOUND",0,1))</f>
        <v/>
      </c>
      <c r="F284" s="160" t="str">
        <f>IF(C284="","",_xlfn.XLOOKUP(D284,Legend!$A$29:$A$118,Legend!$B$29:$B$118,"NOT FOUND",0,1))</f>
        <v/>
      </c>
      <c r="G284" s="268" t="str">
        <f>IF(C284="","",_xlfn.XLOOKUP(D284,Legend!$A$29:$A$118,Legend!$C$29:$C$118,"NOT FOUND",0,1))</f>
        <v/>
      </c>
    </row>
    <row r="285" spans="1:7" x14ac:dyDescent="0.2">
      <c r="A285" s="3">
        <v>1</v>
      </c>
      <c r="C285" s="3" t="str">
        <f>IF(B285="","",IF(ISNUMBER(VALUE(_xlfn.TEXTBEFORE(B285," "))),_xlfn.XLOOKUP(VALUE(_xlfn.TEXTBEFORE(B285," ")),Legend!$B$11:$B$26,Legend!$A$11:$A$26,"NOT FOUND",0,1),_xlfn.TEXTBEFORE(B285," ")))</f>
        <v/>
      </c>
      <c r="D285" s="3" t="str">
        <f t="shared" si="4"/>
        <v/>
      </c>
      <c r="E285" s="159" t="str">
        <f>IF(C285="","",_xlfn.XLOOKUP(C285,Legend!$A$10:$A$26,Legend!$C$10:$C$26,"NOT FOUND",0,1))</f>
        <v/>
      </c>
      <c r="F285" s="160" t="str">
        <f>IF(C285="","",_xlfn.XLOOKUP(D285,Legend!$A$29:$A$118,Legend!$B$29:$B$118,"NOT FOUND",0,1))</f>
        <v/>
      </c>
      <c r="G285" s="268" t="str">
        <f>IF(C285="","",_xlfn.XLOOKUP(D285,Legend!$A$29:$A$118,Legend!$C$29:$C$118,"NOT FOUND",0,1))</f>
        <v/>
      </c>
    </row>
    <row r="286" spans="1:7" x14ac:dyDescent="0.2">
      <c r="A286" s="3">
        <v>1</v>
      </c>
      <c r="C286" s="3" t="str">
        <f>IF(B286="","",IF(ISNUMBER(VALUE(_xlfn.TEXTBEFORE(B286," "))),_xlfn.XLOOKUP(VALUE(_xlfn.TEXTBEFORE(B286," ")),Legend!$B$11:$B$26,Legend!$A$11:$A$26,"NOT FOUND",0,1),_xlfn.TEXTBEFORE(B286," ")))</f>
        <v/>
      </c>
      <c r="D286" s="3" t="str">
        <f t="shared" si="4"/>
        <v/>
      </c>
      <c r="E286" s="159" t="str">
        <f>IF(C286="","",_xlfn.XLOOKUP(C286,Legend!$A$10:$A$26,Legend!$C$10:$C$26,"NOT FOUND",0,1))</f>
        <v/>
      </c>
      <c r="F286" s="160" t="str">
        <f>IF(C286="","",_xlfn.XLOOKUP(D286,Legend!$A$29:$A$118,Legend!$B$29:$B$118,"NOT FOUND",0,1))</f>
        <v/>
      </c>
      <c r="G286" s="268" t="str">
        <f>IF(C286="","",_xlfn.XLOOKUP(D286,Legend!$A$29:$A$118,Legend!$C$29:$C$118,"NOT FOUND",0,1))</f>
        <v/>
      </c>
    </row>
    <row r="287" spans="1:7" x14ac:dyDescent="0.2">
      <c r="A287" s="3">
        <v>1</v>
      </c>
      <c r="C287" s="3" t="str">
        <f>IF(B287="","",IF(ISNUMBER(VALUE(_xlfn.TEXTBEFORE(B287," "))),_xlfn.XLOOKUP(VALUE(_xlfn.TEXTBEFORE(B287," ")),Legend!$B$11:$B$26,Legend!$A$11:$A$26,"NOT FOUND",0,1),_xlfn.TEXTBEFORE(B287," ")))</f>
        <v/>
      </c>
      <c r="D287" s="3" t="str">
        <f t="shared" si="4"/>
        <v/>
      </c>
      <c r="E287" s="159" t="str">
        <f>IF(C287="","",_xlfn.XLOOKUP(C287,Legend!$A$10:$A$26,Legend!$C$10:$C$26,"NOT FOUND",0,1))</f>
        <v/>
      </c>
      <c r="F287" s="160" t="str">
        <f>IF(C287="","",_xlfn.XLOOKUP(D287,Legend!$A$29:$A$118,Legend!$B$29:$B$118,"NOT FOUND",0,1))</f>
        <v/>
      </c>
      <c r="G287" s="268" t="str">
        <f>IF(C287="","",_xlfn.XLOOKUP(D287,Legend!$A$29:$A$118,Legend!$C$29:$C$118,"NOT FOUND",0,1))</f>
        <v/>
      </c>
    </row>
    <row r="288" spans="1:7" x14ac:dyDescent="0.2">
      <c r="A288" s="3">
        <v>1</v>
      </c>
      <c r="C288" s="3" t="str">
        <f>IF(B288="","",IF(ISNUMBER(VALUE(_xlfn.TEXTBEFORE(B288," "))),_xlfn.XLOOKUP(VALUE(_xlfn.TEXTBEFORE(B288," ")),Legend!$B$11:$B$26,Legend!$A$11:$A$26,"NOT FOUND",0,1),_xlfn.TEXTBEFORE(B288," ")))</f>
        <v/>
      </c>
      <c r="D288" s="3" t="str">
        <f t="shared" si="4"/>
        <v/>
      </c>
      <c r="E288" s="159" t="str">
        <f>IF(C288="","",_xlfn.XLOOKUP(C288,Legend!$A$10:$A$26,Legend!$C$10:$C$26,"NOT FOUND",0,1))</f>
        <v/>
      </c>
      <c r="F288" s="160" t="str">
        <f>IF(C288="","",_xlfn.XLOOKUP(D288,Legend!$A$29:$A$118,Legend!$B$29:$B$118,"NOT FOUND",0,1))</f>
        <v/>
      </c>
      <c r="G288" s="268" t="str">
        <f>IF(C288="","",_xlfn.XLOOKUP(D288,Legend!$A$29:$A$118,Legend!$C$29:$C$118,"NOT FOUND",0,1))</f>
        <v/>
      </c>
    </row>
    <row r="289" spans="1:7" x14ac:dyDescent="0.2">
      <c r="A289" s="3">
        <v>1</v>
      </c>
      <c r="C289" s="3" t="str">
        <f>IF(B289="","",IF(ISNUMBER(VALUE(_xlfn.TEXTBEFORE(B289," "))),_xlfn.XLOOKUP(VALUE(_xlfn.TEXTBEFORE(B289," ")),Legend!$B$11:$B$26,Legend!$A$11:$A$26,"NOT FOUND",0,1),_xlfn.TEXTBEFORE(B289," ")))</f>
        <v/>
      </c>
      <c r="D289" s="3" t="str">
        <f t="shared" si="4"/>
        <v/>
      </c>
      <c r="E289" s="159" t="str">
        <f>IF(C289="","",_xlfn.XLOOKUP(C289,Legend!$A$10:$A$26,Legend!$C$10:$C$26,"NOT FOUND",0,1))</f>
        <v/>
      </c>
      <c r="F289" s="160" t="str">
        <f>IF(C289="","",_xlfn.XLOOKUP(D289,Legend!$A$29:$A$118,Legend!$B$29:$B$118,"NOT FOUND",0,1))</f>
        <v/>
      </c>
      <c r="G289" s="268" t="str">
        <f>IF(C289="","",_xlfn.XLOOKUP(D289,Legend!$A$29:$A$118,Legend!$C$29:$C$118,"NOT FOUND",0,1))</f>
        <v/>
      </c>
    </row>
    <row r="290" spans="1:7" x14ac:dyDescent="0.2">
      <c r="A290" s="3">
        <v>1</v>
      </c>
      <c r="C290" s="3" t="str">
        <f>IF(B290="","",IF(ISNUMBER(VALUE(_xlfn.TEXTBEFORE(B290," "))),_xlfn.XLOOKUP(VALUE(_xlfn.TEXTBEFORE(B290," ")),Legend!$B$11:$B$26,Legend!$A$11:$A$26,"NOT FOUND",0,1),_xlfn.TEXTBEFORE(B290," ")))</f>
        <v/>
      </c>
      <c r="D290" s="3" t="str">
        <f t="shared" si="4"/>
        <v/>
      </c>
      <c r="E290" s="159" t="str">
        <f>IF(C290="","",_xlfn.XLOOKUP(C290,Legend!$A$10:$A$26,Legend!$C$10:$C$26,"NOT FOUND",0,1))</f>
        <v/>
      </c>
      <c r="F290" s="160" t="str">
        <f>IF(C290="","",_xlfn.XLOOKUP(D290,Legend!$A$29:$A$118,Legend!$B$29:$B$118,"NOT FOUND",0,1))</f>
        <v/>
      </c>
      <c r="G290" s="268" t="str">
        <f>IF(C290="","",_xlfn.XLOOKUP(D290,Legend!$A$29:$A$118,Legend!$C$29:$C$118,"NOT FOUND",0,1))</f>
        <v/>
      </c>
    </row>
    <row r="291" spans="1:7" x14ac:dyDescent="0.2">
      <c r="A291" s="3">
        <v>1</v>
      </c>
      <c r="C291" s="3" t="str">
        <f>IF(B291="","",IF(ISNUMBER(VALUE(_xlfn.TEXTBEFORE(B291," "))),_xlfn.XLOOKUP(VALUE(_xlfn.TEXTBEFORE(B291," ")),Legend!$B$11:$B$26,Legend!$A$11:$A$26,"NOT FOUND",0,1),_xlfn.TEXTBEFORE(B291," ")))</f>
        <v/>
      </c>
      <c r="D291" s="3" t="str">
        <f t="shared" si="4"/>
        <v/>
      </c>
      <c r="E291" s="159" t="str">
        <f>IF(C291="","",_xlfn.XLOOKUP(C291,Legend!$A$10:$A$26,Legend!$C$10:$C$26,"NOT FOUND",0,1))</f>
        <v/>
      </c>
      <c r="F291" s="160" t="str">
        <f>IF(C291="","",_xlfn.XLOOKUP(D291,Legend!$A$29:$A$118,Legend!$B$29:$B$118,"NOT FOUND",0,1))</f>
        <v/>
      </c>
      <c r="G291" s="268" t="str">
        <f>IF(C291="","",_xlfn.XLOOKUP(D291,Legend!$A$29:$A$118,Legend!$C$29:$C$118,"NOT FOUND",0,1))</f>
        <v/>
      </c>
    </row>
    <row r="292" spans="1:7" x14ac:dyDescent="0.2">
      <c r="A292" s="3">
        <v>1</v>
      </c>
      <c r="C292" s="3" t="str">
        <f>IF(B292="","",IF(ISNUMBER(VALUE(_xlfn.TEXTBEFORE(B292," "))),_xlfn.XLOOKUP(VALUE(_xlfn.TEXTBEFORE(B292," ")),Legend!$B$11:$B$26,Legend!$A$11:$A$26,"NOT FOUND",0,1),_xlfn.TEXTBEFORE(B292," ")))</f>
        <v/>
      </c>
      <c r="D292" s="3" t="str">
        <f t="shared" si="4"/>
        <v/>
      </c>
      <c r="E292" s="159" t="str">
        <f>IF(C292="","",_xlfn.XLOOKUP(C292,Legend!$A$10:$A$26,Legend!$C$10:$C$26,"NOT FOUND",0,1))</f>
        <v/>
      </c>
      <c r="F292" s="160" t="str">
        <f>IF(C292="","",_xlfn.XLOOKUP(D292,Legend!$A$29:$A$118,Legend!$B$29:$B$118,"NOT FOUND",0,1))</f>
        <v/>
      </c>
      <c r="G292" s="268" t="str">
        <f>IF(C292="","",_xlfn.XLOOKUP(D292,Legend!$A$29:$A$118,Legend!$C$29:$C$118,"NOT FOUND",0,1))</f>
        <v/>
      </c>
    </row>
    <row r="293" spans="1:7" x14ac:dyDescent="0.2">
      <c r="A293" s="3">
        <v>1</v>
      </c>
      <c r="C293" s="3" t="str">
        <f>IF(B293="","",IF(ISNUMBER(VALUE(_xlfn.TEXTBEFORE(B293," "))),_xlfn.XLOOKUP(VALUE(_xlfn.TEXTBEFORE(B293," ")),Legend!$B$11:$B$26,Legend!$A$11:$A$26,"NOT FOUND",0,1),_xlfn.TEXTBEFORE(B293," ")))</f>
        <v/>
      </c>
      <c r="D293" s="3" t="str">
        <f t="shared" si="4"/>
        <v/>
      </c>
      <c r="E293" s="159" t="str">
        <f>IF(C293="","",_xlfn.XLOOKUP(C293,Legend!$A$10:$A$26,Legend!$C$10:$C$26,"NOT FOUND",0,1))</f>
        <v/>
      </c>
      <c r="F293" s="160" t="str">
        <f>IF(C293="","",_xlfn.XLOOKUP(D293,Legend!$A$29:$A$118,Legend!$B$29:$B$118,"NOT FOUND",0,1))</f>
        <v/>
      </c>
      <c r="G293" s="268" t="str">
        <f>IF(C293="","",_xlfn.XLOOKUP(D293,Legend!$A$29:$A$118,Legend!$C$29:$C$118,"NOT FOUND",0,1))</f>
        <v/>
      </c>
    </row>
    <row r="294" spans="1:7" x14ac:dyDescent="0.2">
      <c r="A294" s="3">
        <v>1</v>
      </c>
      <c r="C294" s="3" t="str">
        <f>IF(B294="","",IF(ISNUMBER(VALUE(_xlfn.TEXTBEFORE(B294," "))),_xlfn.XLOOKUP(VALUE(_xlfn.TEXTBEFORE(B294," ")),Legend!$B$11:$B$26,Legend!$A$11:$A$26,"NOT FOUND",0,1),_xlfn.TEXTBEFORE(B294," ")))</f>
        <v/>
      </c>
      <c r="D294" s="3" t="str">
        <f t="shared" si="4"/>
        <v/>
      </c>
      <c r="E294" s="159" t="str">
        <f>IF(C294="","",_xlfn.XLOOKUP(C294,Legend!$A$10:$A$26,Legend!$C$10:$C$26,"NOT FOUND",0,1))</f>
        <v/>
      </c>
      <c r="F294" s="160" t="str">
        <f>IF(C294="","",_xlfn.XLOOKUP(D294,Legend!$A$29:$A$118,Legend!$B$29:$B$118,"NOT FOUND",0,1))</f>
        <v/>
      </c>
      <c r="G294" s="268" t="str">
        <f>IF(C294="","",_xlfn.XLOOKUP(D294,Legend!$A$29:$A$118,Legend!$C$29:$C$118,"NOT FOUND",0,1))</f>
        <v/>
      </c>
    </row>
    <row r="295" spans="1:7" x14ac:dyDescent="0.2">
      <c r="A295" s="3">
        <v>1</v>
      </c>
      <c r="C295" s="3" t="str">
        <f>IF(B295="","",IF(ISNUMBER(VALUE(_xlfn.TEXTBEFORE(B295," "))),_xlfn.XLOOKUP(VALUE(_xlfn.TEXTBEFORE(B295," ")),Legend!$B$11:$B$26,Legend!$A$11:$A$26,"NOT FOUND",0,1),_xlfn.TEXTBEFORE(B295," ")))</f>
        <v/>
      </c>
      <c r="D295" s="3" t="str">
        <f t="shared" si="4"/>
        <v/>
      </c>
      <c r="E295" s="159" t="str">
        <f>IF(C295="","",_xlfn.XLOOKUP(C295,Legend!$A$10:$A$26,Legend!$C$10:$C$26,"NOT FOUND",0,1))</f>
        <v/>
      </c>
      <c r="F295" s="160" t="str">
        <f>IF(C295="","",_xlfn.XLOOKUP(D295,Legend!$A$29:$A$118,Legend!$B$29:$B$118,"NOT FOUND",0,1))</f>
        <v/>
      </c>
      <c r="G295" s="268" t="str">
        <f>IF(C295="","",_xlfn.XLOOKUP(D295,Legend!$A$29:$A$118,Legend!$C$29:$C$118,"NOT FOUND",0,1))</f>
        <v/>
      </c>
    </row>
    <row r="296" spans="1:7" x14ac:dyDescent="0.2">
      <c r="A296" s="3">
        <v>1</v>
      </c>
      <c r="C296" s="3" t="str">
        <f>IF(B296="","",IF(ISNUMBER(VALUE(_xlfn.TEXTBEFORE(B296," "))),_xlfn.XLOOKUP(VALUE(_xlfn.TEXTBEFORE(B296," ")),Legend!$B$11:$B$26,Legend!$A$11:$A$26,"NOT FOUND",0,1),_xlfn.TEXTBEFORE(B296," ")))</f>
        <v/>
      </c>
      <c r="D296" s="3" t="str">
        <f t="shared" si="4"/>
        <v/>
      </c>
      <c r="E296" s="159" t="str">
        <f>IF(C296="","",_xlfn.XLOOKUP(C296,Legend!$A$10:$A$26,Legend!$C$10:$C$26,"NOT FOUND",0,1))</f>
        <v/>
      </c>
      <c r="F296" s="160" t="str">
        <f>IF(C296="","",_xlfn.XLOOKUP(D296,Legend!$A$29:$A$118,Legend!$B$29:$B$118,"NOT FOUND",0,1))</f>
        <v/>
      </c>
      <c r="G296" s="268" t="str">
        <f>IF(C296="","",_xlfn.XLOOKUP(D296,Legend!$A$29:$A$118,Legend!$C$29:$C$118,"NOT FOUND",0,1))</f>
        <v/>
      </c>
    </row>
    <row r="297" spans="1:7" x14ac:dyDescent="0.2">
      <c r="A297" s="3">
        <v>1</v>
      </c>
      <c r="C297" s="3" t="str">
        <f>IF(B297="","",IF(ISNUMBER(VALUE(_xlfn.TEXTBEFORE(B297," "))),_xlfn.XLOOKUP(VALUE(_xlfn.TEXTBEFORE(B297," ")),Legend!$B$11:$B$26,Legend!$A$11:$A$26,"NOT FOUND",0,1),_xlfn.TEXTBEFORE(B297," ")))</f>
        <v/>
      </c>
      <c r="D297" s="3" t="str">
        <f t="shared" si="4"/>
        <v/>
      </c>
      <c r="E297" s="159" t="str">
        <f>IF(C297="","",_xlfn.XLOOKUP(C297,Legend!$A$10:$A$26,Legend!$C$10:$C$26,"NOT FOUND",0,1))</f>
        <v/>
      </c>
      <c r="F297" s="160" t="str">
        <f>IF(C297="","",_xlfn.XLOOKUP(D297,Legend!$A$29:$A$118,Legend!$B$29:$B$118,"NOT FOUND",0,1))</f>
        <v/>
      </c>
      <c r="G297" s="268" t="str">
        <f>IF(C297="","",_xlfn.XLOOKUP(D297,Legend!$A$29:$A$118,Legend!$C$29:$C$118,"NOT FOUND",0,1))</f>
        <v/>
      </c>
    </row>
    <row r="298" spans="1:7" x14ac:dyDescent="0.2">
      <c r="A298" s="3">
        <v>1</v>
      </c>
      <c r="C298" s="3" t="str">
        <f>IF(B298="","",IF(ISNUMBER(VALUE(_xlfn.TEXTBEFORE(B298," "))),_xlfn.XLOOKUP(VALUE(_xlfn.TEXTBEFORE(B298," ")),Legend!$B$11:$B$26,Legend!$A$11:$A$26,"NOT FOUND",0,1),_xlfn.TEXTBEFORE(B298," ")))</f>
        <v/>
      </c>
      <c r="D298" s="3" t="str">
        <f t="shared" si="4"/>
        <v/>
      </c>
      <c r="E298" s="159" t="str">
        <f>IF(C298="","",_xlfn.XLOOKUP(C298,Legend!$A$10:$A$26,Legend!$C$10:$C$26,"NOT FOUND",0,1))</f>
        <v/>
      </c>
      <c r="F298" s="160" t="str">
        <f>IF(C298="","",_xlfn.XLOOKUP(D298,Legend!$A$29:$A$118,Legend!$B$29:$B$118,"NOT FOUND",0,1))</f>
        <v/>
      </c>
      <c r="G298" s="268" t="str">
        <f>IF(C298="","",_xlfn.XLOOKUP(D298,Legend!$A$29:$A$118,Legend!$C$29:$C$118,"NOT FOUND",0,1))</f>
        <v/>
      </c>
    </row>
    <row r="299" spans="1:7" x14ac:dyDescent="0.2">
      <c r="A299" s="3">
        <v>1</v>
      </c>
      <c r="C299" s="3" t="str">
        <f>IF(B299="","",IF(ISNUMBER(VALUE(_xlfn.TEXTBEFORE(B299," "))),_xlfn.XLOOKUP(VALUE(_xlfn.TEXTBEFORE(B299," ")),Legend!$B$11:$B$26,Legend!$A$11:$A$26,"NOT FOUND",0,1),_xlfn.TEXTBEFORE(B299," ")))</f>
        <v/>
      </c>
      <c r="D299" s="3" t="str">
        <f t="shared" si="4"/>
        <v/>
      </c>
      <c r="E299" s="159" t="str">
        <f>IF(C299="","",_xlfn.XLOOKUP(C299,Legend!$A$10:$A$26,Legend!$C$10:$C$26,"NOT FOUND",0,1))</f>
        <v/>
      </c>
      <c r="F299" s="160" t="str">
        <f>IF(C299="","",_xlfn.XLOOKUP(D299,Legend!$A$29:$A$118,Legend!$B$29:$B$118,"NOT FOUND",0,1))</f>
        <v/>
      </c>
      <c r="G299" s="268" t="str">
        <f>IF(C299="","",_xlfn.XLOOKUP(D299,Legend!$A$29:$A$118,Legend!$C$29:$C$118,"NOT FOUND",0,1))</f>
        <v/>
      </c>
    </row>
    <row r="300" spans="1:7" x14ac:dyDescent="0.2">
      <c r="A300" s="3">
        <v>1</v>
      </c>
      <c r="C300" s="3" t="str">
        <f>IF(B300="","",IF(ISNUMBER(VALUE(_xlfn.TEXTBEFORE(B300," "))),_xlfn.XLOOKUP(VALUE(_xlfn.TEXTBEFORE(B300," ")),Legend!$B$11:$B$26,Legend!$A$11:$A$26,"NOT FOUND",0,1),_xlfn.TEXTBEFORE(B300," ")))</f>
        <v/>
      </c>
      <c r="D300" s="3" t="str">
        <f t="shared" si="4"/>
        <v/>
      </c>
      <c r="E300" s="159" t="str">
        <f>IF(C300="","",_xlfn.XLOOKUP(C300,Legend!$A$10:$A$26,Legend!$C$10:$C$26,"NOT FOUND",0,1))</f>
        <v/>
      </c>
      <c r="F300" s="160" t="str">
        <f>IF(C300="","",_xlfn.XLOOKUP(D300,Legend!$A$29:$A$118,Legend!$B$29:$B$118,"NOT FOUND",0,1))</f>
        <v/>
      </c>
      <c r="G300" s="268" t="str">
        <f>IF(C300="","",_xlfn.XLOOKUP(D300,Legend!$A$29:$A$118,Legend!$C$29:$C$118,"NOT FOUND",0,1))</f>
        <v/>
      </c>
    </row>
    <row r="301" spans="1:7" x14ac:dyDescent="0.2">
      <c r="A301" s="3">
        <v>1</v>
      </c>
      <c r="C301" s="3" t="str">
        <f>IF(B301="","",IF(ISNUMBER(VALUE(_xlfn.TEXTBEFORE(B301," "))),_xlfn.XLOOKUP(VALUE(_xlfn.TEXTBEFORE(B301," ")),Legend!$B$11:$B$26,Legend!$A$11:$A$26,"NOT FOUND",0,1),_xlfn.TEXTBEFORE(B301," ")))</f>
        <v/>
      </c>
      <c r="D301" s="3" t="str">
        <f t="shared" si="4"/>
        <v/>
      </c>
      <c r="E301" s="159" t="str">
        <f>IF(C301="","",_xlfn.XLOOKUP(C301,Legend!$A$10:$A$26,Legend!$C$10:$C$26,"NOT FOUND",0,1))</f>
        <v/>
      </c>
      <c r="F301" s="160" t="str">
        <f>IF(C301="","",_xlfn.XLOOKUP(D301,Legend!$A$29:$A$118,Legend!$B$29:$B$118,"NOT FOUND",0,1))</f>
        <v/>
      </c>
      <c r="G301" s="268" t="str">
        <f>IF(C301="","",_xlfn.XLOOKUP(D301,Legend!$A$29:$A$118,Legend!$C$29:$C$118,"NOT FOUND",0,1))</f>
        <v/>
      </c>
    </row>
    <row r="302" spans="1:7" x14ac:dyDescent="0.2">
      <c r="A302" s="3">
        <v>1</v>
      </c>
      <c r="C302" s="3" t="str">
        <f>IF(B302="","",IF(ISNUMBER(VALUE(_xlfn.TEXTBEFORE(B302," "))),_xlfn.XLOOKUP(VALUE(_xlfn.TEXTBEFORE(B302," ")),Legend!$B$11:$B$26,Legend!$A$11:$A$26,"NOT FOUND",0,1),_xlfn.TEXTBEFORE(B302," ")))</f>
        <v/>
      </c>
      <c r="D302" s="3" t="str">
        <f t="shared" si="4"/>
        <v/>
      </c>
      <c r="E302" s="159" t="str">
        <f>IF(C302="","",_xlfn.XLOOKUP(C302,Legend!$A$10:$A$26,Legend!$C$10:$C$26,"NOT FOUND",0,1))</f>
        <v/>
      </c>
      <c r="F302" s="160" t="str">
        <f>IF(C302="","",_xlfn.XLOOKUP(D302,Legend!$A$29:$A$118,Legend!$B$29:$B$118,"NOT FOUND",0,1))</f>
        <v/>
      </c>
      <c r="G302" s="268" t="str">
        <f>IF(C302="","",_xlfn.XLOOKUP(D302,Legend!$A$29:$A$118,Legend!$C$29:$C$118,"NOT FOUND",0,1))</f>
        <v/>
      </c>
    </row>
    <row r="303" spans="1:7" x14ac:dyDescent="0.2">
      <c r="A303" s="3">
        <v>1</v>
      </c>
      <c r="C303" s="3" t="str">
        <f>IF(B303="","",IF(ISNUMBER(VALUE(_xlfn.TEXTBEFORE(B303," "))),_xlfn.XLOOKUP(VALUE(_xlfn.TEXTBEFORE(B303," ")),Legend!$B$11:$B$26,Legend!$A$11:$A$26,"NOT FOUND",0,1),_xlfn.TEXTBEFORE(B303," ")))</f>
        <v/>
      </c>
      <c r="D303" s="3" t="str">
        <f t="shared" si="4"/>
        <v/>
      </c>
      <c r="E303" s="159" t="str">
        <f>IF(C303="","",_xlfn.XLOOKUP(C303,Legend!$A$10:$A$26,Legend!$C$10:$C$26,"NOT FOUND",0,1))</f>
        <v/>
      </c>
      <c r="F303" s="160" t="str">
        <f>IF(C303="","",_xlfn.XLOOKUP(D303,Legend!$A$29:$A$118,Legend!$B$29:$B$118,"NOT FOUND",0,1))</f>
        <v/>
      </c>
      <c r="G303" s="268" t="str">
        <f>IF(C303="","",_xlfn.XLOOKUP(D303,Legend!$A$29:$A$118,Legend!$C$29:$C$118,"NOT FOUND",0,1))</f>
        <v/>
      </c>
    </row>
    <row r="304" spans="1:7" x14ac:dyDescent="0.2">
      <c r="A304" s="3">
        <v>1</v>
      </c>
      <c r="C304" s="3" t="str">
        <f>IF(B304="","",IF(ISNUMBER(VALUE(_xlfn.TEXTBEFORE(B304," "))),_xlfn.XLOOKUP(VALUE(_xlfn.TEXTBEFORE(B304," ")),Legend!$B$11:$B$26,Legend!$A$11:$A$26,"NOT FOUND",0,1),_xlfn.TEXTBEFORE(B304," ")))</f>
        <v/>
      </c>
      <c r="D304" s="3" t="str">
        <f t="shared" si="4"/>
        <v/>
      </c>
      <c r="E304" s="159" t="str">
        <f>IF(C304="","",_xlfn.XLOOKUP(C304,Legend!$A$10:$A$26,Legend!$C$10:$C$26,"NOT FOUND",0,1))</f>
        <v/>
      </c>
      <c r="F304" s="160" t="str">
        <f>IF(C304="","",_xlfn.XLOOKUP(D304,Legend!$A$29:$A$118,Legend!$B$29:$B$118,"NOT FOUND",0,1))</f>
        <v/>
      </c>
      <c r="G304" s="268" t="str">
        <f>IF(C304="","",_xlfn.XLOOKUP(D304,Legend!$A$29:$A$118,Legend!$C$29:$C$118,"NOT FOUND",0,1))</f>
        <v/>
      </c>
    </row>
    <row r="305" spans="1:7" x14ac:dyDescent="0.2">
      <c r="A305" s="3">
        <v>1</v>
      </c>
      <c r="C305" s="3" t="str">
        <f>IF(B305="","",IF(ISNUMBER(VALUE(_xlfn.TEXTBEFORE(B305," "))),_xlfn.XLOOKUP(VALUE(_xlfn.TEXTBEFORE(B305," ")),Legend!$B$11:$B$26,Legend!$A$11:$A$26,"NOT FOUND",0,1),_xlfn.TEXTBEFORE(B305," ")))</f>
        <v/>
      </c>
      <c r="D305" s="3" t="str">
        <f t="shared" si="4"/>
        <v/>
      </c>
      <c r="E305" s="159" t="str">
        <f>IF(C305="","",_xlfn.XLOOKUP(C305,Legend!$A$10:$A$26,Legend!$C$10:$C$26,"NOT FOUND",0,1))</f>
        <v/>
      </c>
      <c r="F305" s="160" t="str">
        <f>IF(C305="","",_xlfn.XLOOKUP(D305,Legend!$A$29:$A$118,Legend!$B$29:$B$118,"NOT FOUND",0,1))</f>
        <v/>
      </c>
      <c r="G305" s="268" t="str">
        <f>IF(C305="","",_xlfn.XLOOKUP(D305,Legend!$A$29:$A$118,Legend!$C$29:$C$118,"NOT FOUND",0,1))</f>
        <v/>
      </c>
    </row>
    <row r="306" spans="1:7" x14ac:dyDescent="0.2">
      <c r="A306" s="3">
        <v>1</v>
      </c>
      <c r="C306" s="3" t="str">
        <f>IF(B306="","",IF(ISNUMBER(VALUE(_xlfn.TEXTBEFORE(B306," "))),_xlfn.XLOOKUP(VALUE(_xlfn.TEXTBEFORE(B306," ")),Legend!$B$11:$B$26,Legend!$A$11:$A$26,"NOT FOUND",0,1),_xlfn.TEXTBEFORE(B306," ")))</f>
        <v/>
      </c>
      <c r="D306" s="3" t="str">
        <f t="shared" si="4"/>
        <v/>
      </c>
      <c r="E306" s="159" t="str">
        <f>IF(C306="","",_xlfn.XLOOKUP(C306,Legend!$A$10:$A$26,Legend!$C$10:$C$26,"NOT FOUND",0,1))</f>
        <v/>
      </c>
      <c r="F306" s="160" t="str">
        <f>IF(C306="","",_xlfn.XLOOKUP(D306,Legend!$A$29:$A$118,Legend!$B$29:$B$118,"NOT FOUND",0,1))</f>
        <v/>
      </c>
      <c r="G306" s="268" t="str">
        <f>IF(C306="","",_xlfn.XLOOKUP(D306,Legend!$A$29:$A$118,Legend!$C$29:$C$118,"NOT FOUND",0,1))</f>
        <v/>
      </c>
    </row>
    <row r="307" spans="1:7" x14ac:dyDescent="0.2">
      <c r="A307" s="3">
        <v>1</v>
      </c>
      <c r="C307" s="3" t="str">
        <f>IF(B307="","",IF(ISNUMBER(VALUE(_xlfn.TEXTBEFORE(B307," "))),_xlfn.XLOOKUP(VALUE(_xlfn.TEXTBEFORE(B307," ")),Legend!$B$11:$B$26,Legend!$A$11:$A$26,"NOT FOUND",0,1),_xlfn.TEXTBEFORE(B307," ")))</f>
        <v/>
      </c>
      <c r="D307" s="3" t="str">
        <f t="shared" si="4"/>
        <v/>
      </c>
      <c r="E307" s="159" t="str">
        <f>IF(C307="","",_xlfn.XLOOKUP(C307,Legend!$A$10:$A$26,Legend!$C$10:$C$26,"NOT FOUND",0,1))</f>
        <v/>
      </c>
      <c r="F307" s="160" t="str">
        <f>IF(C307="","",_xlfn.XLOOKUP(D307,Legend!$A$29:$A$118,Legend!$B$29:$B$118,"NOT FOUND",0,1))</f>
        <v/>
      </c>
      <c r="G307" s="268" t="str">
        <f>IF(C307="","",_xlfn.XLOOKUP(D307,Legend!$A$29:$A$118,Legend!$C$29:$C$118,"NOT FOUND",0,1))</f>
        <v/>
      </c>
    </row>
    <row r="308" spans="1:7" x14ac:dyDescent="0.2">
      <c r="A308" s="3">
        <v>1</v>
      </c>
      <c r="C308" s="3" t="str">
        <f>IF(B308="","",IF(ISNUMBER(VALUE(_xlfn.TEXTBEFORE(B308," "))),_xlfn.XLOOKUP(VALUE(_xlfn.TEXTBEFORE(B308," ")),Legend!$B$11:$B$26,Legend!$A$11:$A$26,"NOT FOUND",0,1),_xlfn.TEXTBEFORE(B308," ")))</f>
        <v/>
      </c>
      <c r="D308" s="3" t="str">
        <f t="shared" si="4"/>
        <v/>
      </c>
      <c r="E308" s="159" t="str">
        <f>IF(C308="","",_xlfn.XLOOKUP(C308,Legend!$A$10:$A$26,Legend!$C$10:$C$26,"NOT FOUND",0,1))</f>
        <v/>
      </c>
      <c r="F308" s="160" t="str">
        <f>IF(C308="","",_xlfn.XLOOKUP(D308,Legend!$A$29:$A$118,Legend!$B$29:$B$118,"NOT FOUND",0,1))</f>
        <v/>
      </c>
      <c r="G308" s="268" t="str">
        <f>IF(C308="","",_xlfn.XLOOKUP(D308,Legend!$A$29:$A$118,Legend!$C$29:$C$118,"NOT FOUND",0,1))</f>
        <v/>
      </c>
    </row>
    <row r="309" spans="1:7" x14ac:dyDescent="0.2">
      <c r="A309" s="3">
        <v>1</v>
      </c>
      <c r="C309" s="3" t="str">
        <f>IF(B309="","",IF(ISNUMBER(VALUE(_xlfn.TEXTBEFORE(B309," "))),_xlfn.XLOOKUP(VALUE(_xlfn.TEXTBEFORE(B309," ")),Legend!$B$11:$B$26,Legend!$A$11:$A$26,"NOT FOUND",0,1),_xlfn.TEXTBEFORE(B309," ")))</f>
        <v/>
      </c>
      <c r="D309" s="3" t="str">
        <f t="shared" si="4"/>
        <v/>
      </c>
      <c r="E309" s="159" t="str">
        <f>IF(C309="","",_xlfn.XLOOKUP(C309,Legend!$A$10:$A$26,Legend!$C$10:$C$26,"NOT FOUND",0,1))</f>
        <v/>
      </c>
      <c r="F309" s="160" t="str">
        <f>IF(C309="","",_xlfn.XLOOKUP(D309,Legend!$A$29:$A$118,Legend!$B$29:$B$118,"NOT FOUND",0,1))</f>
        <v/>
      </c>
      <c r="G309" s="268" t="str">
        <f>IF(C309="","",_xlfn.XLOOKUP(D309,Legend!$A$29:$A$118,Legend!$C$29:$C$118,"NOT FOUND",0,1))</f>
        <v/>
      </c>
    </row>
    <row r="310" spans="1:7" x14ac:dyDescent="0.2">
      <c r="A310" s="3">
        <v>1</v>
      </c>
      <c r="C310" s="3" t="str">
        <f>IF(B310="","",IF(ISNUMBER(VALUE(_xlfn.TEXTBEFORE(B310," "))),_xlfn.XLOOKUP(VALUE(_xlfn.TEXTBEFORE(B310," ")),Legend!$B$11:$B$26,Legend!$A$11:$A$26,"NOT FOUND",0,1),_xlfn.TEXTBEFORE(B310," ")))</f>
        <v/>
      </c>
      <c r="D310" s="3" t="str">
        <f t="shared" si="4"/>
        <v/>
      </c>
      <c r="E310" s="159" t="str">
        <f>IF(C310="","",_xlfn.XLOOKUP(C310,Legend!$A$10:$A$26,Legend!$C$10:$C$26,"NOT FOUND",0,1))</f>
        <v/>
      </c>
      <c r="F310" s="160" t="str">
        <f>IF(C310="","",_xlfn.XLOOKUP(D310,Legend!$A$29:$A$118,Legend!$B$29:$B$118,"NOT FOUND",0,1))</f>
        <v/>
      </c>
      <c r="G310" s="268" t="str">
        <f>IF(C310="","",_xlfn.XLOOKUP(D310,Legend!$A$29:$A$118,Legend!$C$29:$C$118,"NOT FOUND",0,1))</f>
        <v/>
      </c>
    </row>
    <row r="311" spans="1:7" x14ac:dyDescent="0.2">
      <c r="A311" s="3">
        <v>1</v>
      </c>
      <c r="C311" s="3" t="str">
        <f>IF(B311="","",IF(ISNUMBER(VALUE(_xlfn.TEXTBEFORE(B311," "))),_xlfn.XLOOKUP(VALUE(_xlfn.TEXTBEFORE(B311," ")),Legend!$B$11:$B$26,Legend!$A$11:$A$26,"NOT FOUND",0,1),_xlfn.TEXTBEFORE(B311," ")))</f>
        <v/>
      </c>
      <c r="D311" s="3" t="str">
        <f t="shared" si="4"/>
        <v/>
      </c>
      <c r="E311" s="159" t="str">
        <f>IF(C311="","",_xlfn.XLOOKUP(C311,Legend!$A$10:$A$26,Legend!$C$10:$C$26,"NOT FOUND",0,1))</f>
        <v/>
      </c>
      <c r="F311" s="160" t="str">
        <f>IF(C311="","",_xlfn.XLOOKUP(D311,Legend!$A$29:$A$118,Legend!$B$29:$B$118,"NOT FOUND",0,1))</f>
        <v/>
      </c>
      <c r="G311" s="268" t="str">
        <f>IF(C311="","",_xlfn.XLOOKUP(D311,Legend!$A$29:$A$118,Legend!$C$29:$C$118,"NOT FOUND",0,1))</f>
        <v/>
      </c>
    </row>
    <row r="312" spans="1:7" x14ac:dyDescent="0.2">
      <c r="A312" s="3">
        <v>1</v>
      </c>
      <c r="C312" s="3" t="str">
        <f>IF(B312="","",IF(ISNUMBER(VALUE(_xlfn.TEXTBEFORE(B312," "))),_xlfn.XLOOKUP(VALUE(_xlfn.TEXTBEFORE(B312," ")),Legend!$B$11:$B$26,Legend!$A$11:$A$26,"NOT FOUND",0,1),_xlfn.TEXTBEFORE(B312," ")))</f>
        <v/>
      </c>
      <c r="D312" s="3" t="str">
        <f t="shared" si="4"/>
        <v/>
      </c>
      <c r="E312" s="159" t="str">
        <f>IF(C312="","",_xlfn.XLOOKUP(C312,Legend!$A$10:$A$26,Legend!$C$10:$C$26,"NOT FOUND",0,1))</f>
        <v/>
      </c>
      <c r="F312" s="160" t="str">
        <f>IF(C312="","",_xlfn.XLOOKUP(D312,Legend!$A$29:$A$118,Legend!$B$29:$B$118,"NOT FOUND",0,1))</f>
        <v/>
      </c>
      <c r="G312" s="268" t="str">
        <f>IF(C312="","",_xlfn.XLOOKUP(D312,Legend!$A$29:$A$118,Legend!$C$29:$C$118,"NOT FOUND",0,1))</f>
        <v/>
      </c>
    </row>
    <row r="313" spans="1:7" x14ac:dyDescent="0.2">
      <c r="A313" s="3">
        <v>1</v>
      </c>
      <c r="C313" s="3" t="str">
        <f>IF(B313="","",IF(ISNUMBER(VALUE(_xlfn.TEXTBEFORE(B313," "))),_xlfn.XLOOKUP(VALUE(_xlfn.TEXTBEFORE(B313," ")),Legend!$B$11:$B$26,Legend!$A$11:$A$26,"NOT FOUND",0,1),_xlfn.TEXTBEFORE(B313," ")))</f>
        <v/>
      </c>
      <c r="D313" s="3" t="str">
        <f t="shared" si="4"/>
        <v/>
      </c>
      <c r="E313" s="159" t="str">
        <f>IF(C313="","",_xlfn.XLOOKUP(C313,Legend!$A$10:$A$26,Legend!$C$10:$C$26,"NOT FOUND",0,1))</f>
        <v/>
      </c>
      <c r="F313" s="160" t="str">
        <f>IF(C313="","",_xlfn.XLOOKUP(D313,Legend!$A$29:$A$118,Legend!$B$29:$B$118,"NOT FOUND",0,1))</f>
        <v/>
      </c>
      <c r="G313" s="268" t="str">
        <f>IF(C313="","",_xlfn.XLOOKUP(D313,Legend!$A$29:$A$118,Legend!$C$29:$C$118,"NOT FOUND",0,1))</f>
        <v/>
      </c>
    </row>
    <row r="314" spans="1:7" x14ac:dyDescent="0.2">
      <c r="A314" s="3">
        <v>1</v>
      </c>
      <c r="C314" s="3" t="str">
        <f>IF(B314="","",IF(ISNUMBER(VALUE(_xlfn.TEXTBEFORE(B314," "))),_xlfn.XLOOKUP(VALUE(_xlfn.TEXTBEFORE(B314," ")),Legend!$B$11:$B$26,Legend!$A$11:$A$26,"NOT FOUND",0,1),_xlfn.TEXTBEFORE(B314," ")))</f>
        <v/>
      </c>
      <c r="D314" s="3" t="str">
        <f t="shared" si="4"/>
        <v/>
      </c>
      <c r="E314" s="159" t="str">
        <f>IF(C314="","",_xlfn.XLOOKUP(C314,Legend!$A$10:$A$26,Legend!$C$10:$C$26,"NOT FOUND",0,1))</f>
        <v/>
      </c>
      <c r="F314" s="160" t="str">
        <f>IF(C314="","",_xlfn.XLOOKUP(D314,Legend!$A$29:$A$118,Legend!$B$29:$B$118,"NOT FOUND",0,1))</f>
        <v/>
      </c>
      <c r="G314" s="268" t="str">
        <f>IF(C314="","",_xlfn.XLOOKUP(D314,Legend!$A$29:$A$118,Legend!$C$29:$C$118,"NOT FOUND",0,1))</f>
        <v/>
      </c>
    </row>
    <row r="315" spans="1:7" x14ac:dyDescent="0.2">
      <c r="A315" s="3">
        <v>1</v>
      </c>
      <c r="C315" s="3" t="str">
        <f>IF(B315="","",IF(ISNUMBER(VALUE(_xlfn.TEXTBEFORE(B315," "))),_xlfn.XLOOKUP(VALUE(_xlfn.TEXTBEFORE(B315," ")),Legend!$B$11:$B$26,Legend!$A$11:$A$26,"NOT FOUND",0,1),_xlfn.TEXTBEFORE(B315," ")))</f>
        <v/>
      </c>
      <c r="D315" s="3" t="str">
        <f t="shared" si="4"/>
        <v/>
      </c>
      <c r="E315" s="159" t="str">
        <f>IF(C315="","",_xlfn.XLOOKUP(C315,Legend!$A$10:$A$26,Legend!$C$10:$C$26,"NOT FOUND",0,1))</f>
        <v/>
      </c>
      <c r="F315" s="160" t="str">
        <f>IF(C315="","",_xlfn.XLOOKUP(D315,Legend!$A$29:$A$118,Legend!$B$29:$B$118,"NOT FOUND",0,1))</f>
        <v/>
      </c>
      <c r="G315" s="268" t="str">
        <f>IF(C315="","",_xlfn.XLOOKUP(D315,Legend!$A$29:$A$118,Legend!$C$29:$C$118,"NOT FOUND",0,1))</f>
        <v/>
      </c>
    </row>
    <row r="316" spans="1:7" x14ac:dyDescent="0.2">
      <c r="A316" s="3">
        <v>1</v>
      </c>
      <c r="C316" s="3" t="str">
        <f>IF(B316="","",IF(ISNUMBER(VALUE(_xlfn.TEXTBEFORE(B316," "))),_xlfn.XLOOKUP(VALUE(_xlfn.TEXTBEFORE(B316," ")),Legend!$B$11:$B$26,Legend!$A$11:$A$26,"NOT FOUND",0,1),_xlfn.TEXTBEFORE(B316," ")))</f>
        <v/>
      </c>
      <c r="D316" s="3" t="str">
        <f t="shared" si="4"/>
        <v/>
      </c>
      <c r="E316" s="159" t="str">
        <f>IF(C316="","",_xlfn.XLOOKUP(C316,Legend!$A$10:$A$26,Legend!$C$10:$C$26,"NOT FOUND",0,1))</f>
        <v/>
      </c>
      <c r="F316" s="160" t="str">
        <f>IF(C316="","",_xlfn.XLOOKUP(D316,Legend!$A$29:$A$118,Legend!$B$29:$B$118,"NOT FOUND",0,1))</f>
        <v/>
      </c>
      <c r="G316" s="268" t="str">
        <f>IF(C316="","",_xlfn.XLOOKUP(D316,Legend!$A$29:$A$118,Legend!$C$29:$C$118,"NOT FOUND",0,1))</f>
        <v/>
      </c>
    </row>
    <row r="317" spans="1:7" x14ac:dyDescent="0.2">
      <c r="A317" s="3">
        <v>1</v>
      </c>
      <c r="C317" s="3" t="str">
        <f>IF(B317="","",IF(ISNUMBER(VALUE(_xlfn.TEXTBEFORE(B317," "))),_xlfn.XLOOKUP(VALUE(_xlfn.TEXTBEFORE(B317," ")),Legend!$B$11:$B$26,Legend!$A$11:$A$26,"NOT FOUND",0,1),_xlfn.TEXTBEFORE(B317," ")))</f>
        <v/>
      </c>
      <c r="D317" s="3" t="str">
        <f t="shared" si="4"/>
        <v/>
      </c>
      <c r="E317" s="159" t="str">
        <f>IF(C317="","",_xlfn.XLOOKUP(C317,Legend!$A$10:$A$26,Legend!$C$10:$C$26,"NOT FOUND",0,1))</f>
        <v/>
      </c>
      <c r="F317" s="160" t="str">
        <f>IF(C317="","",_xlfn.XLOOKUP(D317,Legend!$A$29:$A$118,Legend!$B$29:$B$118,"NOT FOUND",0,1))</f>
        <v/>
      </c>
      <c r="G317" s="268" t="str">
        <f>IF(C317="","",_xlfn.XLOOKUP(D317,Legend!$A$29:$A$118,Legend!$C$29:$C$118,"NOT FOUND",0,1))</f>
        <v/>
      </c>
    </row>
    <row r="318" spans="1:7" x14ac:dyDescent="0.2">
      <c r="A318" s="3">
        <v>1</v>
      </c>
      <c r="C318" s="3" t="str">
        <f>IF(B318="","",IF(ISNUMBER(VALUE(_xlfn.TEXTBEFORE(B318," "))),_xlfn.XLOOKUP(VALUE(_xlfn.TEXTBEFORE(B318," ")),Legend!$B$11:$B$26,Legend!$A$11:$A$26,"NOT FOUND",0,1),_xlfn.TEXTBEFORE(B318," ")))</f>
        <v/>
      </c>
      <c r="D318" s="3" t="str">
        <f t="shared" si="4"/>
        <v/>
      </c>
      <c r="E318" s="159" t="str">
        <f>IF(C318="","",_xlfn.XLOOKUP(C318,Legend!$A$10:$A$26,Legend!$C$10:$C$26,"NOT FOUND",0,1))</f>
        <v/>
      </c>
      <c r="F318" s="160" t="str">
        <f>IF(C318="","",_xlfn.XLOOKUP(D318,Legend!$A$29:$A$118,Legend!$B$29:$B$118,"NOT FOUND",0,1))</f>
        <v/>
      </c>
      <c r="G318" s="268" t="str">
        <f>IF(C318="","",_xlfn.XLOOKUP(D318,Legend!$A$29:$A$118,Legend!$C$29:$C$118,"NOT FOUND",0,1))</f>
        <v/>
      </c>
    </row>
    <row r="319" spans="1:7" x14ac:dyDescent="0.2">
      <c r="A319" s="3">
        <v>1</v>
      </c>
      <c r="C319" s="3" t="str">
        <f>IF(B319="","",IF(ISNUMBER(VALUE(_xlfn.TEXTBEFORE(B319," "))),_xlfn.XLOOKUP(VALUE(_xlfn.TEXTBEFORE(B319," ")),Legend!$B$11:$B$26,Legend!$A$11:$A$26,"NOT FOUND",0,1),_xlfn.TEXTBEFORE(B319," ")))</f>
        <v/>
      </c>
      <c r="D319" s="3" t="str">
        <f t="shared" ref="D319:D382" si="5">IF(B319="","",_xlfn.TEXTAFTER(B319," "))</f>
        <v/>
      </c>
      <c r="E319" s="159" t="str">
        <f>IF(C319="","",_xlfn.XLOOKUP(C319,Legend!$A$10:$A$26,Legend!$C$10:$C$26,"NOT FOUND",0,1))</f>
        <v/>
      </c>
      <c r="F319" s="160" t="str">
        <f>IF(C319="","",_xlfn.XLOOKUP(D319,Legend!$A$29:$A$118,Legend!$B$29:$B$118,"NOT FOUND",0,1))</f>
        <v/>
      </c>
      <c r="G319" s="268" t="str">
        <f>IF(C319="","",_xlfn.XLOOKUP(D319,Legend!$A$29:$A$118,Legend!$C$29:$C$118,"NOT FOUND",0,1))</f>
        <v/>
      </c>
    </row>
    <row r="320" spans="1:7" x14ac:dyDescent="0.2">
      <c r="A320" s="3">
        <v>1</v>
      </c>
      <c r="C320" s="3" t="str">
        <f>IF(B320="","",IF(ISNUMBER(VALUE(_xlfn.TEXTBEFORE(B320," "))),_xlfn.XLOOKUP(VALUE(_xlfn.TEXTBEFORE(B320," ")),Legend!$B$11:$B$26,Legend!$A$11:$A$26,"NOT FOUND",0,1),_xlfn.TEXTBEFORE(B320," ")))</f>
        <v/>
      </c>
      <c r="D320" s="3" t="str">
        <f t="shared" si="5"/>
        <v/>
      </c>
      <c r="E320" s="159" t="str">
        <f>IF(C320="","",_xlfn.XLOOKUP(C320,Legend!$A$10:$A$26,Legend!$C$10:$C$26,"NOT FOUND",0,1))</f>
        <v/>
      </c>
      <c r="F320" s="160" t="str">
        <f>IF(C320="","",_xlfn.XLOOKUP(D320,Legend!$A$29:$A$118,Legend!$B$29:$B$118,"NOT FOUND",0,1))</f>
        <v/>
      </c>
      <c r="G320" s="268" t="str">
        <f>IF(C320="","",_xlfn.XLOOKUP(D320,Legend!$A$29:$A$118,Legend!$C$29:$C$118,"NOT FOUND",0,1))</f>
        <v/>
      </c>
    </row>
    <row r="321" spans="1:7" x14ac:dyDescent="0.2">
      <c r="A321" s="3">
        <v>1</v>
      </c>
      <c r="C321" s="3" t="str">
        <f>IF(B321="","",IF(ISNUMBER(VALUE(_xlfn.TEXTBEFORE(B321," "))),_xlfn.XLOOKUP(VALUE(_xlfn.TEXTBEFORE(B321," ")),Legend!$B$11:$B$26,Legend!$A$11:$A$26,"NOT FOUND",0,1),_xlfn.TEXTBEFORE(B321," ")))</f>
        <v/>
      </c>
      <c r="D321" s="3" t="str">
        <f t="shared" si="5"/>
        <v/>
      </c>
      <c r="E321" s="159" t="str">
        <f>IF(C321="","",_xlfn.XLOOKUP(C321,Legend!$A$10:$A$26,Legend!$C$10:$C$26,"NOT FOUND",0,1))</f>
        <v/>
      </c>
      <c r="F321" s="160" t="str">
        <f>IF(C321="","",_xlfn.XLOOKUP(D321,Legend!$A$29:$A$118,Legend!$B$29:$B$118,"NOT FOUND",0,1))</f>
        <v/>
      </c>
      <c r="G321" s="268" t="str">
        <f>IF(C321="","",_xlfn.XLOOKUP(D321,Legend!$A$29:$A$118,Legend!$C$29:$C$118,"NOT FOUND",0,1))</f>
        <v/>
      </c>
    </row>
    <row r="322" spans="1:7" x14ac:dyDescent="0.2">
      <c r="A322" s="3">
        <v>1</v>
      </c>
      <c r="C322" s="3" t="str">
        <f>IF(B322="","",IF(ISNUMBER(VALUE(_xlfn.TEXTBEFORE(B322," "))),_xlfn.XLOOKUP(VALUE(_xlfn.TEXTBEFORE(B322," ")),Legend!$B$11:$B$26,Legend!$A$11:$A$26,"NOT FOUND",0,1),_xlfn.TEXTBEFORE(B322," ")))</f>
        <v/>
      </c>
      <c r="D322" s="3" t="str">
        <f t="shared" si="5"/>
        <v/>
      </c>
      <c r="E322" s="159" t="str">
        <f>IF(C322="","",_xlfn.XLOOKUP(C322,Legend!$A$10:$A$26,Legend!$C$10:$C$26,"NOT FOUND",0,1))</f>
        <v/>
      </c>
      <c r="F322" s="160" t="str">
        <f>IF(C322="","",_xlfn.XLOOKUP(D322,Legend!$A$29:$A$118,Legend!$B$29:$B$118,"NOT FOUND",0,1))</f>
        <v/>
      </c>
      <c r="G322" s="268" t="str">
        <f>IF(C322="","",_xlfn.XLOOKUP(D322,Legend!$A$29:$A$118,Legend!$C$29:$C$118,"NOT FOUND",0,1))</f>
        <v/>
      </c>
    </row>
    <row r="323" spans="1:7" x14ac:dyDescent="0.2">
      <c r="A323" s="3">
        <v>1</v>
      </c>
      <c r="C323" s="3" t="str">
        <f>IF(B323="","",IF(ISNUMBER(VALUE(_xlfn.TEXTBEFORE(B323," "))),_xlfn.XLOOKUP(VALUE(_xlfn.TEXTBEFORE(B323," ")),Legend!$B$11:$B$26,Legend!$A$11:$A$26,"NOT FOUND",0,1),_xlfn.TEXTBEFORE(B323," ")))</f>
        <v/>
      </c>
      <c r="D323" s="3" t="str">
        <f t="shared" si="5"/>
        <v/>
      </c>
      <c r="E323" s="159" t="str">
        <f>IF(C323="","",_xlfn.XLOOKUP(C323,Legend!$A$10:$A$26,Legend!$C$10:$C$26,"NOT FOUND",0,1))</f>
        <v/>
      </c>
      <c r="F323" s="160" t="str">
        <f>IF(C323="","",_xlfn.XLOOKUP(D323,Legend!$A$29:$A$118,Legend!$B$29:$B$118,"NOT FOUND",0,1))</f>
        <v/>
      </c>
      <c r="G323" s="268" t="str">
        <f>IF(C323="","",_xlfn.XLOOKUP(D323,Legend!$A$29:$A$118,Legend!$C$29:$C$118,"NOT FOUND",0,1))</f>
        <v/>
      </c>
    </row>
    <row r="324" spans="1:7" x14ac:dyDescent="0.2">
      <c r="A324" s="3">
        <v>1</v>
      </c>
      <c r="C324" s="3" t="str">
        <f>IF(B324="","",IF(ISNUMBER(VALUE(_xlfn.TEXTBEFORE(B324," "))),_xlfn.XLOOKUP(VALUE(_xlfn.TEXTBEFORE(B324," ")),Legend!$B$11:$B$26,Legend!$A$11:$A$26,"NOT FOUND",0,1),_xlfn.TEXTBEFORE(B324," ")))</f>
        <v/>
      </c>
      <c r="D324" s="3" t="str">
        <f t="shared" si="5"/>
        <v/>
      </c>
      <c r="E324" s="159" t="str">
        <f>IF(C324="","",_xlfn.XLOOKUP(C324,Legend!$A$10:$A$26,Legend!$C$10:$C$26,"NOT FOUND",0,1))</f>
        <v/>
      </c>
      <c r="F324" s="160" t="str">
        <f>IF(C324="","",_xlfn.XLOOKUP(D324,Legend!$A$29:$A$118,Legend!$B$29:$B$118,"NOT FOUND",0,1))</f>
        <v/>
      </c>
      <c r="G324" s="268" t="str">
        <f>IF(C324="","",_xlfn.XLOOKUP(D324,Legend!$A$29:$A$118,Legend!$C$29:$C$118,"NOT FOUND",0,1))</f>
        <v/>
      </c>
    </row>
    <row r="325" spans="1:7" x14ac:dyDescent="0.2">
      <c r="A325" s="3">
        <v>1</v>
      </c>
      <c r="C325" s="3" t="str">
        <f>IF(B325="","",IF(ISNUMBER(VALUE(_xlfn.TEXTBEFORE(B325," "))),_xlfn.XLOOKUP(VALUE(_xlfn.TEXTBEFORE(B325," ")),Legend!$B$11:$B$26,Legend!$A$11:$A$26,"NOT FOUND",0,1),_xlfn.TEXTBEFORE(B325," ")))</f>
        <v/>
      </c>
      <c r="D325" s="3" t="str">
        <f t="shared" si="5"/>
        <v/>
      </c>
      <c r="E325" s="159" t="str">
        <f>IF(C325="","",_xlfn.XLOOKUP(C325,Legend!$A$10:$A$26,Legend!$C$10:$C$26,"NOT FOUND",0,1))</f>
        <v/>
      </c>
      <c r="F325" s="160" t="str">
        <f>IF(C325="","",_xlfn.XLOOKUP(D325,Legend!$A$29:$A$118,Legend!$B$29:$B$118,"NOT FOUND",0,1))</f>
        <v/>
      </c>
      <c r="G325" s="268" t="str">
        <f>IF(C325="","",_xlfn.XLOOKUP(D325,Legend!$A$29:$A$118,Legend!$C$29:$C$118,"NOT FOUND",0,1))</f>
        <v/>
      </c>
    </row>
    <row r="326" spans="1:7" x14ac:dyDescent="0.2">
      <c r="A326" s="3">
        <v>1</v>
      </c>
      <c r="C326" s="3" t="str">
        <f>IF(B326="","",IF(ISNUMBER(VALUE(_xlfn.TEXTBEFORE(B326," "))),_xlfn.XLOOKUP(VALUE(_xlfn.TEXTBEFORE(B326," ")),Legend!$B$11:$B$26,Legend!$A$11:$A$26,"NOT FOUND",0,1),_xlfn.TEXTBEFORE(B326," ")))</f>
        <v/>
      </c>
      <c r="D326" s="3" t="str">
        <f t="shared" si="5"/>
        <v/>
      </c>
      <c r="E326" s="159" t="str">
        <f>IF(C326="","",_xlfn.XLOOKUP(C326,Legend!$A$10:$A$26,Legend!$C$10:$C$26,"NOT FOUND",0,1))</f>
        <v/>
      </c>
      <c r="F326" s="160" t="str">
        <f>IF(C326="","",_xlfn.XLOOKUP(D326,Legend!$A$29:$A$118,Legend!$B$29:$B$118,"NOT FOUND",0,1))</f>
        <v/>
      </c>
      <c r="G326" s="268" t="str">
        <f>IF(C326="","",_xlfn.XLOOKUP(D326,Legend!$A$29:$A$118,Legend!$C$29:$C$118,"NOT FOUND",0,1))</f>
        <v/>
      </c>
    </row>
    <row r="327" spans="1:7" x14ac:dyDescent="0.2">
      <c r="A327" s="3">
        <v>1</v>
      </c>
      <c r="C327" s="3" t="str">
        <f>IF(B327="","",IF(ISNUMBER(VALUE(_xlfn.TEXTBEFORE(B327," "))),_xlfn.XLOOKUP(VALUE(_xlfn.TEXTBEFORE(B327," ")),Legend!$B$11:$B$26,Legend!$A$11:$A$26,"NOT FOUND",0,1),_xlfn.TEXTBEFORE(B327," ")))</f>
        <v/>
      </c>
      <c r="D327" s="3" t="str">
        <f t="shared" si="5"/>
        <v/>
      </c>
      <c r="E327" s="159" t="str">
        <f>IF(C327="","",_xlfn.XLOOKUP(C327,Legend!$A$10:$A$26,Legend!$C$10:$C$26,"NOT FOUND",0,1))</f>
        <v/>
      </c>
      <c r="F327" s="160" t="str">
        <f>IF(C327="","",_xlfn.XLOOKUP(D327,Legend!$A$29:$A$118,Legend!$B$29:$B$118,"NOT FOUND",0,1))</f>
        <v/>
      </c>
      <c r="G327" s="268" t="str">
        <f>IF(C327="","",_xlfn.XLOOKUP(D327,Legend!$A$29:$A$118,Legend!$C$29:$C$118,"NOT FOUND",0,1))</f>
        <v/>
      </c>
    </row>
    <row r="328" spans="1:7" x14ac:dyDescent="0.2">
      <c r="A328" s="3">
        <v>1</v>
      </c>
      <c r="C328" s="3" t="str">
        <f>IF(B328="","",IF(ISNUMBER(VALUE(_xlfn.TEXTBEFORE(B328," "))),_xlfn.XLOOKUP(VALUE(_xlfn.TEXTBEFORE(B328," ")),Legend!$B$11:$B$26,Legend!$A$11:$A$26,"NOT FOUND",0,1),_xlfn.TEXTBEFORE(B328," ")))</f>
        <v/>
      </c>
      <c r="D328" s="3" t="str">
        <f t="shared" si="5"/>
        <v/>
      </c>
      <c r="E328" s="159" t="str">
        <f>IF(C328="","",_xlfn.XLOOKUP(C328,Legend!$A$10:$A$26,Legend!$C$10:$C$26,"NOT FOUND",0,1))</f>
        <v/>
      </c>
      <c r="F328" s="160" t="str">
        <f>IF(C328="","",_xlfn.XLOOKUP(D328,Legend!$A$29:$A$118,Legend!$B$29:$B$118,"NOT FOUND",0,1))</f>
        <v/>
      </c>
      <c r="G328" s="268" t="str">
        <f>IF(C328="","",_xlfn.XLOOKUP(D328,Legend!$A$29:$A$118,Legend!$C$29:$C$118,"NOT FOUND",0,1))</f>
        <v/>
      </c>
    </row>
    <row r="329" spans="1:7" x14ac:dyDescent="0.2">
      <c r="A329" s="3">
        <v>1</v>
      </c>
      <c r="C329" s="3" t="str">
        <f>IF(B329="","",IF(ISNUMBER(VALUE(_xlfn.TEXTBEFORE(B329," "))),_xlfn.XLOOKUP(VALUE(_xlfn.TEXTBEFORE(B329," ")),Legend!$B$11:$B$26,Legend!$A$11:$A$26,"NOT FOUND",0,1),_xlfn.TEXTBEFORE(B329," ")))</f>
        <v/>
      </c>
      <c r="D329" s="3" t="str">
        <f t="shared" si="5"/>
        <v/>
      </c>
      <c r="E329" s="159" t="str">
        <f>IF(C329="","",_xlfn.XLOOKUP(C329,Legend!$A$10:$A$26,Legend!$C$10:$C$26,"NOT FOUND",0,1))</f>
        <v/>
      </c>
      <c r="F329" s="160" t="str">
        <f>IF(C329="","",_xlfn.XLOOKUP(D329,Legend!$A$29:$A$118,Legend!$B$29:$B$118,"NOT FOUND",0,1))</f>
        <v/>
      </c>
      <c r="G329" s="268" t="str">
        <f>IF(C329="","",_xlfn.XLOOKUP(D329,Legend!$A$29:$A$118,Legend!$C$29:$C$118,"NOT FOUND",0,1))</f>
        <v/>
      </c>
    </row>
    <row r="330" spans="1:7" x14ac:dyDescent="0.2">
      <c r="A330" s="3">
        <v>1</v>
      </c>
      <c r="C330" s="3" t="str">
        <f>IF(B330="","",IF(ISNUMBER(VALUE(_xlfn.TEXTBEFORE(B330," "))),_xlfn.XLOOKUP(VALUE(_xlfn.TEXTBEFORE(B330," ")),Legend!$B$11:$B$26,Legend!$A$11:$A$26,"NOT FOUND",0,1),_xlfn.TEXTBEFORE(B330," ")))</f>
        <v/>
      </c>
      <c r="D330" s="3" t="str">
        <f t="shared" si="5"/>
        <v/>
      </c>
      <c r="E330" s="159" t="str">
        <f>IF(C330="","",_xlfn.XLOOKUP(C330,Legend!$A$10:$A$26,Legend!$C$10:$C$26,"NOT FOUND",0,1))</f>
        <v/>
      </c>
      <c r="F330" s="160" t="str">
        <f>IF(C330="","",_xlfn.XLOOKUP(D330,Legend!$A$29:$A$118,Legend!$B$29:$B$118,"NOT FOUND",0,1))</f>
        <v/>
      </c>
      <c r="G330" s="268" t="str">
        <f>IF(C330="","",_xlfn.XLOOKUP(D330,Legend!$A$29:$A$118,Legend!$C$29:$C$118,"NOT FOUND",0,1))</f>
        <v/>
      </c>
    </row>
    <row r="331" spans="1:7" x14ac:dyDescent="0.2">
      <c r="A331" s="3">
        <v>1</v>
      </c>
      <c r="C331" s="3" t="str">
        <f>IF(B331="","",IF(ISNUMBER(VALUE(_xlfn.TEXTBEFORE(B331," "))),_xlfn.XLOOKUP(VALUE(_xlfn.TEXTBEFORE(B331," ")),Legend!$B$11:$B$26,Legend!$A$11:$A$26,"NOT FOUND",0,1),_xlfn.TEXTBEFORE(B331," ")))</f>
        <v/>
      </c>
      <c r="D331" s="3" t="str">
        <f t="shared" si="5"/>
        <v/>
      </c>
      <c r="E331" s="159" t="str">
        <f>IF(C331="","",_xlfn.XLOOKUP(C331,Legend!$A$10:$A$26,Legend!$C$10:$C$26,"NOT FOUND",0,1))</f>
        <v/>
      </c>
      <c r="F331" s="160" t="str">
        <f>IF(C331="","",_xlfn.XLOOKUP(D331,Legend!$A$29:$A$118,Legend!$B$29:$B$118,"NOT FOUND",0,1))</f>
        <v/>
      </c>
      <c r="G331" s="268" t="str">
        <f>IF(C331="","",_xlfn.XLOOKUP(D331,Legend!$A$29:$A$118,Legend!$C$29:$C$118,"NOT FOUND",0,1))</f>
        <v/>
      </c>
    </row>
    <row r="332" spans="1:7" x14ac:dyDescent="0.2">
      <c r="A332" s="3">
        <v>1</v>
      </c>
      <c r="C332" s="3" t="str">
        <f>IF(B332="","",IF(ISNUMBER(VALUE(_xlfn.TEXTBEFORE(B332," "))),_xlfn.XLOOKUP(VALUE(_xlfn.TEXTBEFORE(B332," ")),Legend!$B$11:$B$26,Legend!$A$11:$A$26,"NOT FOUND",0,1),_xlfn.TEXTBEFORE(B332," ")))</f>
        <v/>
      </c>
      <c r="D332" s="3" t="str">
        <f t="shared" si="5"/>
        <v/>
      </c>
      <c r="E332" s="159" t="str">
        <f>IF(C332="","",_xlfn.XLOOKUP(C332,Legend!$A$10:$A$26,Legend!$C$10:$C$26,"NOT FOUND",0,1))</f>
        <v/>
      </c>
      <c r="F332" s="160" t="str">
        <f>IF(C332="","",_xlfn.XLOOKUP(D332,Legend!$A$29:$A$118,Legend!$B$29:$B$118,"NOT FOUND",0,1))</f>
        <v/>
      </c>
      <c r="G332" s="268" t="str">
        <f>IF(C332="","",_xlfn.XLOOKUP(D332,Legend!$A$29:$A$118,Legend!$C$29:$C$118,"NOT FOUND",0,1))</f>
        <v/>
      </c>
    </row>
    <row r="333" spans="1:7" x14ac:dyDescent="0.2">
      <c r="A333" s="3">
        <v>1</v>
      </c>
      <c r="C333" s="3" t="str">
        <f>IF(B333="","",IF(ISNUMBER(VALUE(_xlfn.TEXTBEFORE(B333," "))),_xlfn.XLOOKUP(VALUE(_xlfn.TEXTBEFORE(B333," ")),Legend!$B$11:$B$26,Legend!$A$11:$A$26,"NOT FOUND",0,1),_xlfn.TEXTBEFORE(B333," ")))</f>
        <v/>
      </c>
      <c r="D333" s="3" t="str">
        <f t="shared" si="5"/>
        <v/>
      </c>
      <c r="E333" s="159" t="str">
        <f>IF(C333="","",_xlfn.XLOOKUP(C333,Legend!$A$10:$A$26,Legend!$C$10:$C$26,"NOT FOUND",0,1))</f>
        <v/>
      </c>
      <c r="F333" s="160" t="str">
        <f>IF(C333="","",_xlfn.XLOOKUP(D333,Legend!$A$29:$A$118,Legend!$B$29:$B$118,"NOT FOUND",0,1))</f>
        <v/>
      </c>
      <c r="G333" s="268" t="str">
        <f>IF(C333="","",_xlfn.XLOOKUP(D333,Legend!$A$29:$A$118,Legend!$C$29:$C$118,"NOT FOUND",0,1))</f>
        <v/>
      </c>
    </row>
    <row r="334" spans="1:7" x14ac:dyDescent="0.2">
      <c r="A334" s="3">
        <v>1</v>
      </c>
      <c r="C334" s="3" t="str">
        <f>IF(B334="","",IF(ISNUMBER(VALUE(_xlfn.TEXTBEFORE(B334," "))),_xlfn.XLOOKUP(VALUE(_xlfn.TEXTBEFORE(B334," ")),Legend!$B$11:$B$26,Legend!$A$11:$A$26,"NOT FOUND",0,1),_xlfn.TEXTBEFORE(B334," ")))</f>
        <v/>
      </c>
      <c r="D334" s="3" t="str">
        <f t="shared" si="5"/>
        <v/>
      </c>
      <c r="E334" s="159" t="str">
        <f>IF(C334="","",_xlfn.XLOOKUP(C334,Legend!$A$10:$A$26,Legend!$C$10:$C$26,"NOT FOUND",0,1))</f>
        <v/>
      </c>
      <c r="F334" s="160" t="str">
        <f>IF(C334="","",_xlfn.XLOOKUP(D334,Legend!$A$29:$A$118,Legend!$B$29:$B$118,"NOT FOUND",0,1))</f>
        <v/>
      </c>
      <c r="G334" s="268" t="str">
        <f>IF(C334="","",_xlfn.XLOOKUP(D334,Legend!$A$29:$A$118,Legend!$C$29:$C$118,"NOT FOUND",0,1))</f>
        <v/>
      </c>
    </row>
    <row r="335" spans="1:7" x14ac:dyDescent="0.2">
      <c r="A335" s="3">
        <v>1</v>
      </c>
      <c r="C335" s="3" t="str">
        <f>IF(B335="","",IF(ISNUMBER(VALUE(_xlfn.TEXTBEFORE(B335," "))),_xlfn.XLOOKUP(VALUE(_xlfn.TEXTBEFORE(B335," ")),Legend!$B$11:$B$26,Legend!$A$11:$A$26,"NOT FOUND",0,1),_xlfn.TEXTBEFORE(B335," ")))</f>
        <v/>
      </c>
      <c r="D335" s="3" t="str">
        <f t="shared" si="5"/>
        <v/>
      </c>
      <c r="E335" s="159" t="str">
        <f>IF(C335="","",_xlfn.XLOOKUP(C335,Legend!$A$10:$A$26,Legend!$C$10:$C$26,"NOT FOUND",0,1))</f>
        <v/>
      </c>
      <c r="F335" s="160" t="str">
        <f>IF(C335="","",_xlfn.XLOOKUP(D335,Legend!$A$29:$A$118,Legend!$B$29:$B$118,"NOT FOUND",0,1))</f>
        <v/>
      </c>
      <c r="G335" s="268" t="str">
        <f>IF(C335="","",_xlfn.XLOOKUP(D335,Legend!$A$29:$A$118,Legend!$C$29:$C$118,"NOT FOUND",0,1))</f>
        <v/>
      </c>
    </row>
    <row r="336" spans="1:7" x14ac:dyDescent="0.2">
      <c r="A336" s="3">
        <v>1</v>
      </c>
      <c r="C336" s="3" t="str">
        <f>IF(B336="","",IF(ISNUMBER(VALUE(_xlfn.TEXTBEFORE(B336," "))),_xlfn.XLOOKUP(VALUE(_xlfn.TEXTBEFORE(B336," ")),Legend!$B$11:$B$26,Legend!$A$11:$A$26,"NOT FOUND",0,1),_xlfn.TEXTBEFORE(B336," ")))</f>
        <v/>
      </c>
      <c r="D336" s="3" t="str">
        <f t="shared" si="5"/>
        <v/>
      </c>
      <c r="E336" s="159" t="str">
        <f>IF(C336="","",_xlfn.XLOOKUP(C336,Legend!$A$10:$A$26,Legend!$C$10:$C$26,"NOT FOUND",0,1))</f>
        <v/>
      </c>
      <c r="F336" s="160" t="str">
        <f>IF(C336="","",_xlfn.XLOOKUP(D336,Legend!$A$29:$A$118,Legend!$B$29:$B$118,"NOT FOUND",0,1))</f>
        <v/>
      </c>
      <c r="G336" s="268" t="str">
        <f>IF(C336="","",_xlfn.XLOOKUP(D336,Legend!$A$29:$A$118,Legend!$C$29:$C$118,"NOT FOUND",0,1))</f>
        <v/>
      </c>
    </row>
    <row r="337" spans="1:7" x14ac:dyDescent="0.2">
      <c r="A337" s="3">
        <v>1</v>
      </c>
      <c r="C337" s="3" t="str">
        <f>IF(B337="","",IF(ISNUMBER(VALUE(_xlfn.TEXTBEFORE(B337," "))),_xlfn.XLOOKUP(VALUE(_xlfn.TEXTBEFORE(B337," ")),Legend!$B$11:$B$26,Legend!$A$11:$A$26,"NOT FOUND",0,1),_xlfn.TEXTBEFORE(B337," ")))</f>
        <v/>
      </c>
      <c r="D337" s="3" t="str">
        <f t="shared" si="5"/>
        <v/>
      </c>
      <c r="E337" s="159" t="str">
        <f>IF(C337="","",_xlfn.XLOOKUP(C337,Legend!$A$10:$A$26,Legend!$C$10:$C$26,"NOT FOUND",0,1))</f>
        <v/>
      </c>
      <c r="F337" s="160" t="str">
        <f>IF(C337="","",_xlfn.XLOOKUP(D337,Legend!$A$29:$A$118,Legend!$B$29:$B$118,"NOT FOUND",0,1))</f>
        <v/>
      </c>
      <c r="G337" s="268" t="str">
        <f>IF(C337="","",_xlfn.XLOOKUP(D337,Legend!$A$29:$A$118,Legend!$C$29:$C$118,"NOT FOUND",0,1))</f>
        <v/>
      </c>
    </row>
    <row r="338" spans="1:7" x14ac:dyDescent="0.2">
      <c r="A338" s="3">
        <v>1</v>
      </c>
      <c r="C338" s="3" t="str">
        <f>IF(B338="","",IF(ISNUMBER(VALUE(_xlfn.TEXTBEFORE(B338," "))),_xlfn.XLOOKUP(VALUE(_xlfn.TEXTBEFORE(B338," ")),Legend!$B$11:$B$26,Legend!$A$11:$A$26,"NOT FOUND",0,1),_xlfn.TEXTBEFORE(B338," ")))</f>
        <v/>
      </c>
      <c r="D338" s="3" t="str">
        <f t="shared" si="5"/>
        <v/>
      </c>
      <c r="E338" s="159" t="str">
        <f>IF(C338="","",_xlfn.XLOOKUP(C338,Legend!$A$10:$A$26,Legend!$C$10:$C$26,"NOT FOUND",0,1))</f>
        <v/>
      </c>
      <c r="F338" s="160" t="str">
        <f>IF(C338="","",_xlfn.XLOOKUP(D338,Legend!$A$29:$A$118,Legend!$B$29:$B$118,"NOT FOUND",0,1))</f>
        <v/>
      </c>
      <c r="G338" s="268" t="str">
        <f>IF(C338="","",_xlfn.XLOOKUP(D338,Legend!$A$29:$A$118,Legend!$C$29:$C$118,"NOT FOUND",0,1))</f>
        <v/>
      </c>
    </row>
    <row r="339" spans="1:7" x14ac:dyDescent="0.2">
      <c r="A339" s="3">
        <v>1</v>
      </c>
      <c r="C339" s="3" t="str">
        <f>IF(B339="","",IF(ISNUMBER(VALUE(_xlfn.TEXTBEFORE(B339," "))),_xlfn.XLOOKUP(VALUE(_xlfn.TEXTBEFORE(B339," ")),Legend!$B$11:$B$26,Legend!$A$11:$A$26,"NOT FOUND",0,1),_xlfn.TEXTBEFORE(B339," ")))</f>
        <v/>
      </c>
      <c r="D339" s="3" t="str">
        <f t="shared" si="5"/>
        <v/>
      </c>
      <c r="E339" s="159" t="str">
        <f>IF(C339="","",_xlfn.XLOOKUP(C339,Legend!$A$10:$A$26,Legend!$C$10:$C$26,"NOT FOUND",0,1))</f>
        <v/>
      </c>
      <c r="F339" s="160" t="str">
        <f>IF(C339="","",_xlfn.XLOOKUP(D339,Legend!$A$29:$A$118,Legend!$B$29:$B$118,"NOT FOUND",0,1))</f>
        <v/>
      </c>
      <c r="G339" s="268" t="str">
        <f>IF(C339="","",_xlfn.XLOOKUP(D339,Legend!$A$29:$A$118,Legend!$C$29:$C$118,"NOT FOUND",0,1))</f>
        <v/>
      </c>
    </row>
    <row r="340" spans="1:7" x14ac:dyDescent="0.2">
      <c r="A340" s="3">
        <v>1</v>
      </c>
      <c r="C340" s="3" t="str">
        <f>IF(B340="","",IF(ISNUMBER(VALUE(_xlfn.TEXTBEFORE(B340," "))),_xlfn.XLOOKUP(VALUE(_xlfn.TEXTBEFORE(B340," ")),Legend!$B$11:$B$26,Legend!$A$11:$A$26,"NOT FOUND",0,1),_xlfn.TEXTBEFORE(B340," ")))</f>
        <v/>
      </c>
      <c r="D340" s="3" t="str">
        <f t="shared" si="5"/>
        <v/>
      </c>
      <c r="E340" s="159" t="str">
        <f>IF(C340="","",_xlfn.XLOOKUP(C340,Legend!$A$10:$A$26,Legend!$C$10:$C$26,"NOT FOUND",0,1))</f>
        <v/>
      </c>
      <c r="F340" s="160" t="str">
        <f>IF(C340="","",_xlfn.XLOOKUP(D340,Legend!$A$29:$A$118,Legend!$B$29:$B$118,"NOT FOUND",0,1))</f>
        <v/>
      </c>
      <c r="G340" s="268" t="str">
        <f>IF(C340="","",_xlfn.XLOOKUP(D340,Legend!$A$29:$A$118,Legend!$C$29:$C$118,"NOT FOUND",0,1))</f>
        <v/>
      </c>
    </row>
    <row r="341" spans="1:7" x14ac:dyDescent="0.2">
      <c r="A341" s="3">
        <v>1</v>
      </c>
      <c r="C341" s="3" t="str">
        <f>IF(B341="","",IF(ISNUMBER(VALUE(_xlfn.TEXTBEFORE(B341," "))),_xlfn.XLOOKUP(VALUE(_xlfn.TEXTBEFORE(B341," ")),Legend!$B$11:$B$26,Legend!$A$11:$A$26,"NOT FOUND",0,1),_xlfn.TEXTBEFORE(B341," ")))</f>
        <v/>
      </c>
      <c r="D341" s="3" t="str">
        <f t="shared" si="5"/>
        <v/>
      </c>
      <c r="E341" s="159" t="str">
        <f>IF(C341="","",_xlfn.XLOOKUP(C341,Legend!$A$10:$A$26,Legend!$C$10:$C$26,"NOT FOUND",0,1))</f>
        <v/>
      </c>
      <c r="F341" s="160" t="str">
        <f>IF(C341="","",_xlfn.XLOOKUP(D341,Legend!$A$29:$A$118,Legend!$B$29:$B$118,"NOT FOUND",0,1))</f>
        <v/>
      </c>
      <c r="G341" s="268" t="str">
        <f>IF(C341="","",_xlfn.XLOOKUP(D341,Legend!$A$29:$A$118,Legend!$C$29:$C$118,"NOT FOUND",0,1))</f>
        <v/>
      </c>
    </row>
    <row r="342" spans="1:7" x14ac:dyDescent="0.2">
      <c r="A342" s="3">
        <v>1</v>
      </c>
      <c r="C342" s="3" t="str">
        <f>IF(B342="","",IF(ISNUMBER(VALUE(_xlfn.TEXTBEFORE(B342," "))),_xlfn.XLOOKUP(VALUE(_xlfn.TEXTBEFORE(B342," ")),Legend!$B$11:$B$26,Legend!$A$11:$A$26,"NOT FOUND",0,1),_xlfn.TEXTBEFORE(B342," ")))</f>
        <v/>
      </c>
      <c r="D342" s="3" t="str">
        <f t="shared" si="5"/>
        <v/>
      </c>
      <c r="E342" s="159" t="str">
        <f>IF(C342="","",_xlfn.XLOOKUP(C342,Legend!$A$10:$A$26,Legend!$C$10:$C$26,"NOT FOUND",0,1))</f>
        <v/>
      </c>
      <c r="F342" s="160" t="str">
        <f>IF(C342="","",_xlfn.XLOOKUP(D342,Legend!$A$29:$A$118,Legend!$B$29:$B$118,"NOT FOUND",0,1))</f>
        <v/>
      </c>
      <c r="G342" s="268" t="str">
        <f>IF(C342="","",_xlfn.XLOOKUP(D342,Legend!$A$29:$A$118,Legend!$C$29:$C$118,"NOT FOUND",0,1))</f>
        <v/>
      </c>
    </row>
    <row r="343" spans="1:7" x14ac:dyDescent="0.2">
      <c r="A343" s="3">
        <v>1</v>
      </c>
      <c r="C343" s="3" t="str">
        <f>IF(B343="","",IF(ISNUMBER(VALUE(_xlfn.TEXTBEFORE(B343," "))),_xlfn.XLOOKUP(VALUE(_xlfn.TEXTBEFORE(B343," ")),Legend!$B$11:$B$26,Legend!$A$11:$A$26,"NOT FOUND",0,1),_xlfn.TEXTBEFORE(B343," ")))</f>
        <v/>
      </c>
      <c r="D343" s="3" t="str">
        <f t="shared" si="5"/>
        <v/>
      </c>
      <c r="E343" s="159" t="str">
        <f>IF(C343="","",_xlfn.XLOOKUP(C343,Legend!$A$10:$A$26,Legend!$C$10:$C$26,"NOT FOUND",0,1))</f>
        <v/>
      </c>
      <c r="F343" s="160" t="str">
        <f>IF(C343="","",_xlfn.XLOOKUP(D343,Legend!$A$29:$A$118,Legend!$B$29:$B$118,"NOT FOUND",0,1))</f>
        <v/>
      </c>
      <c r="G343" s="268" t="str">
        <f>IF(C343="","",_xlfn.XLOOKUP(D343,Legend!$A$29:$A$118,Legend!$C$29:$C$118,"NOT FOUND",0,1))</f>
        <v/>
      </c>
    </row>
    <row r="344" spans="1:7" x14ac:dyDescent="0.2">
      <c r="A344" s="3">
        <v>1</v>
      </c>
      <c r="C344" s="3" t="str">
        <f>IF(B344="","",IF(ISNUMBER(VALUE(_xlfn.TEXTBEFORE(B344," "))),_xlfn.XLOOKUP(VALUE(_xlfn.TEXTBEFORE(B344," ")),Legend!$B$11:$B$26,Legend!$A$11:$A$26,"NOT FOUND",0,1),_xlfn.TEXTBEFORE(B344," ")))</f>
        <v/>
      </c>
      <c r="D344" s="3" t="str">
        <f t="shared" si="5"/>
        <v/>
      </c>
      <c r="E344" s="159" t="str">
        <f>IF(C344="","",_xlfn.XLOOKUP(C344,Legend!$A$10:$A$26,Legend!$C$10:$C$26,"NOT FOUND",0,1))</f>
        <v/>
      </c>
      <c r="F344" s="160" t="str">
        <f>IF(C344="","",_xlfn.XLOOKUP(D344,Legend!$A$29:$A$118,Legend!$B$29:$B$118,"NOT FOUND",0,1))</f>
        <v/>
      </c>
      <c r="G344" s="268" t="str">
        <f>IF(C344="","",_xlfn.XLOOKUP(D344,Legend!$A$29:$A$118,Legend!$C$29:$C$118,"NOT FOUND",0,1))</f>
        <v/>
      </c>
    </row>
    <row r="345" spans="1:7" x14ac:dyDescent="0.2">
      <c r="A345" s="3">
        <v>1</v>
      </c>
      <c r="C345" s="3" t="str">
        <f>IF(B345="","",IF(ISNUMBER(VALUE(_xlfn.TEXTBEFORE(B345," "))),_xlfn.XLOOKUP(VALUE(_xlfn.TEXTBEFORE(B345," ")),Legend!$B$11:$B$26,Legend!$A$11:$A$26,"NOT FOUND",0,1),_xlfn.TEXTBEFORE(B345," ")))</f>
        <v/>
      </c>
      <c r="D345" s="3" t="str">
        <f t="shared" si="5"/>
        <v/>
      </c>
      <c r="E345" s="159" t="str">
        <f>IF(C345="","",_xlfn.XLOOKUP(C345,Legend!$A$10:$A$26,Legend!$C$10:$C$26,"NOT FOUND",0,1))</f>
        <v/>
      </c>
      <c r="F345" s="160" t="str">
        <f>IF(C345="","",_xlfn.XLOOKUP(D345,Legend!$A$29:$A$118,Legend!$B$29:$B$118,"NOT FOUND",0,1))</f>
        <v/>
      </c>
      <c r="G345" s="268" t="str">
        <f>IF(C345="","",_xlfn.XLOOKUP(D345,Legend!$A$29:$A$118,Legend!$C$29:$C$118,"NOT FOUND",0,1))</f>
        <v/>
      </c>
    </row>
    <row r="346" spans="1:7" x14ac:dyDescent="0.2">
      <c r="A346" s="3">
        <v>1</v>
      </c>
      <c r="C346" s="3" t="str">
        <f>IF(B346="","",IF(ISNUMBER(VALUE(_xlfn.TEXTBEFORE(B346," "))),_xlfn.XLOOKUP(VALUE(_xlfn.TEXTBEFORE(B346," ")),Legend!$B$11:$B$26,Legend!$A$11:$A$26,"NOT FOUND",0,1),_xlfn.TEXTBEFORE(B346," ")))</f>
        <v/>
      </c>
      <c r="D346" s="3" t="str">
        <f t="shared" si="5"/>
        <v/>
      </c>
      <c r="E346" s="159" t="str">
        <f>IF(C346="","",_xlfn.XLOOKUP(C346,Legend!$A$10:$A$26,Legend!$C$10:$C$26,"NOT FOUND",0,1))</f>
        <v/>
      </c>
      <c r="F346" s="160" t="str">
        <f>IF(C346="","",_xlfn.XLOOKUP(D346,Legend!$A$29:$A$118,Legend!$B$29:$B$118,"NOT FOUND",0,1))</f>
        <v/>
      </c>
      <c r="G346" s="268" t="str">
        <f>IF(C346="","",_xlfn.XLOOKUP(D346,Legend!$A$29:$A$118,Legend!$C$29:$C$118,"NOT FOUND",0,1))</f>
        <v/>
      </c>
    </row>
    <row r="347" spans="1:7" x14ac:dyDescent="0.2">
      <c r="A347" s="3">
        <v>1</v>
      </c>
      <c r="C347" s="3" t="str">
        <f>IF(B347="","",IF(ISNUMBER(VALUE(_xlfn.TEXTBEFORE(B347," "))),_xlfn.XLOOKUP(VALUE(_xlfn.TEXTBEFORE(B347," ")),Legend!$B$11:$B$26,Legend!$A$11:$A$26,"NOT FOUND",0,1),_xlfn.TEXTBEFORE(B347," ")))</f>
        <v/>
      </c>
      <c r="D347" s="3" t="str">
        <f t="shared" si="5"/>
        <v/>
      </c>
      <c r="E347" s="159" t="str">
        <f>IF(C347="","",_xlfn.XLOOKUP(C347,Legend!$A$10:$A$26,Legend!$C$10:$C$26,"NOT FOUND",0,1))</f>
        <v/>
      </c>
      <c r="F347" s="160" t="str">
        <f>IF(C347="","",_xlfn.XLOOKUP(D347,Legend!$A$29:$A$118,Legend!$B$29:$B$118,"NOT FOUND",0,1))</f>
        <v/>
      </c>
      <c r="G347" s="268" t="str">
        <f>IF(C347="","",_xlfn.XLOOKUP(D347,Legend!$A$29:$A$118,Legend!$C$29:$C$118,"NOT FOUND",0,1))</f>
        <v/>
      </c>
    </row>
    <row r="348" spans="1:7" x14ac:dyDescent="0.2">
      <c r="A348" s="3">
        <v>1</v>
      </c>
      <c r="C348" s="3" t="str">
        <f>IF(B348="","",IF(ISNUMBER(VALUE(_xlfn.TEXTBEFORE(B348," "))),_xlfn.XLOOKUP(VALUE(_xlfn.TEXTBEFORE(B348," ")),Legend!$B$11:$B$26,Legend!$A$11:$A$26,"NOT FOUND",0,1),_xlfn.TEXTBEFORE(B348," ")))</f>
        <v/>
      </c>
      <c r="D348" s="3" t="str">
        <f t="shared" si="5"/>
        <v/>
      </c>
      <c r="E348" s="159" t="str">
        <f>IF(C348="","",_xlfn.XLOOKUP(C348,Legend!$A$10:$A$26,Legend!$C$10:$C$26,"NOT FOUND",0,1))</f>
        <v/>
      </c>
      <c r="F348" s="160" t="str">
        <f>IF(C348="","",_xlfn.XLOOKUP(D348,Legend!$A$29:$A$118,Legend!$B$29:$B$118,"NOT FOUND",0,1))</f>
        <v/>
      </c>
      <c r="G348" s="268" t="str">
        <f>IF(C348="","",_xlfn.XLOOKUP(D348,Legend!$A$29:$A$118,Legend!$C$29:$C$118,"NOT FOUND",0,1))</f>
        <v/>
      </c>
    </row>
    <row r="349" spans="1:7" x14ac:dyDescent="0.2">
      <c r="A349" s="3">
        <v>1</v>
      </c>
      <c r="C349" s="3" t="str">
        <f>IF(B349="","",IF(ISNUMBER(VALUE(_xlfn.TEXTBEFORE(B349," "))),_xlfn.XLOOKUP(VALUE(_xlfn.TEXTBEFORE(B349," ")),Legend!$B$11:$B$26,Legend!$A$11:$A$26,"NOT FOUND",0,1),_xlfn.TEXTBEFORE(B349," ")))</f>
        <v/>
      </c>
      <c r="D349" s="3" t="str">
        <f t="shared" si="5"/>
        <v/>
      </c>
      <c r="E349" s="159" t="str">
        <f>IF(C349="","",_xlfn.XLOOKUP(C349,Legend!$A$10:$A$26,Legend!$C$10:$C$26,"NOT FOUND",0,1))</f>
        <v/>
      </c>
      <c r="F349" s="160" t="str">
        <f>IF(C349="","",_xlfn.XLOOKUP(D349,Legend!$A$29:$A$118,Legend!$B$29:$B$118,"NOT FOUND",0,1))</f>
        <v/>
      </c>
      <c r="G349" s="268" t="str">
        <f>IF(C349="","",_xlfn.XLOOKUP(D349,Legend!$A$29:$A$118,Legend!$C$29:$C$118,"NOT FOUND",0,1))</f>
        <v/>
      </c>
    </row>
    <row r="350" spans="1:7" x14ac:dyDescent="0.2">
      <c r="A350" s="3">
        <v>1</v>
      </c>
      <c r="C350" s="3" t="str">
        <f>IF(B350="","",IF(ISNUMBER(VALUE(_xlfn.TEXTBEFORE(B350," "))),_xlfn.XLOOKUP(VALUE(_xlfn.TEXTBEFORE(B350," ")),Legend!$B$11:$B$26,Legend!$A$11:$A$26,"NOT FOUND",0,1),_xlfn.TEXTBEFORE(B350," ")))</f>
        <v/>
      </c>
      <c r="D350" s="3" t="str">
        <f t="shared" si="5"/>
        <v/>
      </c>
      <c r="E350" s="159" t="str">
        <f>IF(C350="","",_xlfn.XLOOKUP(C350,Legend!$A$10:$A$26,Legend!$C$10:$C$26,"NOT FOUND",0,1))</f>
        <v/>
      </c>
      <c r="F350" s="160" t="str">
        <f>IF(C350="","",_xlfn.XLOOKUP(D350,Legend!$A$29:$A$118,Legend!$B$29:$B$118,"NOT FOUND",0,1))</f>
        <v/>
      </c>
      <c r="G350" s="268" t="str">
        <f>IF(C350="","",_xlfn.XLOOKUP(D350,Legend!$A$29:$A$118,Legend!$C$29:$C$118,"NOT FOUND",0,1))</f>
        <v/>
      </c>
    </row>
    <row r="351" spans="1:7" x14ac:dyDescent="0.2">
      <c r="A351" s="3">
        <v>1</v>
      </c>
      <c r="C351" s="3" t="str">
        <f>IF(B351="","",IF(ISNUMBER(VALUE(_xlfn.TEXTBEFORE(B351," "))),_xlfn.XLOOKUP(VALUE(_xlfn.TEXTBEFORE(B351," ")),Legend!$B$11:$B$26,Legend!$A$11:$A$26,"NOT FOUND",0,1),_xlfn.TEXTBEFORE(B351," ")))</f>
        <v/>
      </c>
      <c r="D351" s="3" t="str">
        <f t="shared" si="5"/>
        <v/>
      </c>
      <c r="E351" s="159" t="str">
        <f>IF(C351="","",_xlfn.XLOOKUP(C351,Legend!$A$10:$A$26,Legend!$C$10:$C$26,"NOT FOUND",0,1))</f>
        <v/>
      </c>
      <c r="F351" s="160" t="str">
        <f>IF(C351="","",_xlfn.XLOOKUP(D351,Legend!$A$29:$A$118,Legend!$B$29:$B$118,"NOT FOUND",0,1))</f>
        <v/>
      </c>
      <c r="G351" s="268" t="str">
        <f>IF(C351="","",_xlfn.XLOOKUP(D351,Legend!$A$29:$A$118,Legend!$C$29:$C$118,"NOT FOUND",0,1))</f>
        <v/>
      </c>
    </row>
    <row r="352" spans="1:7" x14ac:dyDescent="0.2">
      <c r="A352" s="3">
        <v>1</v>
      </c>
      <c r="C352" s="3" t="str">
        <f>IF(B352="","",IF(ISNUMBER(VALUE(_xlfn.TEXTBEFORE(B352," "))),_xlfn.XLOOKUP(VALUE(_xlfn.TEXTBEFORE(B352," ")),Legend!$B$11:$B$26,Legend!$A$11:$A$26,"NOT FOUND",0,1),_xlfn.TEXTBEFORE(B352," ")))</f>
        <v/>
      </c>
      <c r="D352" s="3" t="str">
        <f t="shared" si="5"/>
        <v/>
      </c>
      <c r="E352" s="159" t="str">
        <f>IF(C352="","",_xlfn.XLOOKUP(C352,Legend!$A$10:$A$26,Legend!$C$10:$C$26,"NOT FOUND",0,1))</f>
        <v/>
      </c>
      <c r="F352" s="160" t="str">
        <f>IF(C352="","",_xlfn.XLOOKUP(D352,Legend!$A$29:$A$118,Legend!$B$29:$B$118,"NOT FOUND",0,1))</f>
        <v/>
      </c>
      <c r="G352" s="268" t="str">
        <f>IF(C352="","",_xlfn.XLOOKUP(D352,Legend!$A$29:$A$118,Legend!$C$29:$C$118,"NOT FOUND",0,1))</f>
        <v/>
      </c>
    </row>
    <row r="353" spans="1:7" x14ac:dyDescent="0.2">
      <c r="A353" s="3">
        <v>1</v>
      </c>
      <c r="C353" s="3" t="str">
        <f>IF(B353="","",IF(ISNUMBER(VALUE(_xlfn.TEXTBEFORE(B353," "))),_xlfn.XLOOKUP(VALUE(_xlfn.TEXTBEFORE(B353," ")),Legend!$B$11:$B$26,Legend!$A$11:$A$26,"NOT FOUND",0,1),_xlfn.TEXTBEFORE(B353," ")))</f>
        <v/>
      </c>
      <c r="D353" s="3" t="str">
        <f t="shared" si="5"/>
        <v/>
      </c>
      <c r="E353" s="159" t="str">
        <f>IF(C353="","",_xlfn.XLOOKUP(C353,Legend!$A$10:$A$26,Legend!$C$10:$C$26,"NOT FOUND",0,1))</f>
        <v/>
      </c>
      <c r="F353" s="160" t="str">
        <f>IF(C353="","",_xlfn.XLOOKUP(D353,Legend!$A$29:$A$118,Legend!$B$29:$B$118,"NOT FOUND",0,1))</f>
        <v/>
      </c>
      <c r="G353" s="268" t="str">
        <f>IF(C353="","",_xlfn.XLOOKUP(D353,Legend!$A$29:$A$118,Legend!$C$29:$C$118,"NOT FOUND",0,1))</f>
        <v/>
      </c>
    </row>
    <row r="354" spans="1:7" x14ac:dyDescent="0.2">
      <c r="A354" s="3">
        <v>1</v>
      </c>
      <c r="C354" s="3" t="str">
        <f>IF(B354="","",IF(ISNUMBER(VALUE(_xlfn.TEXTBEFORE(B354," "))),_xlfn.XLOOKUP(VALUE(_xlfn.TEXTBEFORE(B354," ")),Legend!$B$11:$B$26,Legend!$A$11:$A$26,"NOT FOUND",0,1),_xlfn.TEXTBEFORE(B354," ")))</f>
        <v/>
      </c>
      <c r="D354" s="3" t="str">
        <f t="shared" si="5"/>
        <v/>
      </c>
      <c r="E354" s="159" t="str">
        <f>IF(C354="","",_xlfn.XLOOKUP(C354,Legend!$A$10:$A$26,Legend!$C$10:$C$26,"NOT FOUND",0,1))</f>
        <v/>
      </c>
      <c r="F354" s="160" t="str">
        <f>IF(C354="","",_xlfn.XLOOKUP(D354,Legend!$A$29:$A$118,Legend!$B$29:$B$118,"NOT FOUND",0,1))</f>
        <v/>
      </c>
      <c r="G354" s="268" t="str">
        <f>IF(C354="","",_xlfn.XLOOKUP(D354,Legend!$A$29:$A$118,Legend!$C$29:$C$118,"NOT FOUND",0,1))</f>
        <v/>
      </c>
    </row>
    <row r="355" spans="1:7" x14ac:dyDescent="0.2">
      <c r="A355" s="3">
        <v>1</v>
      </c>
      <c r="C355" s="3" t="str">
        <f>IF(B355="","",IF(ISNUMBER(VALUE(_xlfn.TEXTBEFORE(B355," "))),_xlfn.XLOOKUP(VALUE(_xlfn.TEXTBEFORE(B355," ")),Legend!$B$11:$B$26,Legend!$A$11:$A$26,"NOT FOUND",0,1),_xlfn.TEXTBEFORE(B355," ")))</f>
        <v/>
      </c>
      <c r="D355" s="3" t="str">
        <f t="shared" si="5"/>
        <v/>
      </c>
      <c r="E355" s="159" t="str">
        <f>IF(C355="","",_xlfn.XLOOKUP(C355,Legend!$A$10:$A$26,Legend!$C$10:$C$26,"NOT FOUND",0,1))</f>
        <v/>
      </c>
      <c r="F355" s="160" t="str">
        <f>IF(C355="","",_xlfn.XLOOKUP(D355,Legend!$A$29:$A$118,Legend!$B$29:$B$118,"NOT FOUND",0,1))</f>
        <v/>
      </c>
      <c r="G355" s="268" t="str">
        <f>IF(C355="","",_xlfn.XLOOKUP(D355,Legend!$A$29:$A$118,Legend!$C$29:$C$118,"NOT FOUND",0,1))</f>
        <v/>
      </c>
    </row>
    <row r="356" spans="1:7" x14ac:dyDescent="0.2">
      <c r="A356" s="3">
        <v>1</v>
      </c>
      <c r="C356" s="3" t="str">
        <f>IF(B356="","",IF(ISNUMBER(VALUE(_xlfn.TEXTBEFORE(B356," "))),_xlfn.XLOOKUP(VALUE(_xlfn.TEXTBEFORE(B356," ")),Legend!$B$11:$B$26,Legend!$A$11:$A$26,"NOT FOUND",0,1),_xlfn.TEXTBEFORE(B356," ")))</f>
        <v/>
      </c>
      <c r="D356" s="3" t="str">
        <f t="shared" si="5"/>
        <v/>
      </c>
      <c r="E356" s="159" t="str">
        <f>IF(C356="","",_xlfn.XLOOKUP(C356,Legend!$A$10:$A$26,Legend!$C$10:$C$26,"NOT FOUND",0,1))</f>
        <v/>
      </c>
      <c r="F356" s="160" t="str">
        <f>IF(C356="","",_xlfn.XLOOKUP(D356,Legend!$A$29:$A$118,Legend!$B$29:$B$118,"NOT FOUND",0,1))</f>
        <v/>
      </c>
      <c r="G356" s="268" t="str">
        <f>IF(C356="","",_xlfn.XLOOKUP(D356,Legend!$A$29:$A$118,Legend!$C$29:$C$118,"NOT FOUND",0,1))</f>
        <v/>
      </c>
    </row>
    <row r="357" spans="1:7" x14ac:dyDescent="0.2">
      <c r="A357" s="3">
        <v>1</v>
      </c>
      <c r="C357" s="3" t="str">
        <f>IF(B357="","",IF(ISNUMBER(VALUE(_xlfn.TEXTBEFORE(B357," "))),_xlfn.XLOOKUP(VALUE(_xlfn.TEXTBEFORE(B357," ")),Legend!$B$11:$B$26,Legend!$A$11:$A$26,"NOT FOUND",0,1),_xlfn.TEXTBEFORE(B357," ")))</f>
        <v/>
      </c>
      <c r="D357" s="3" t="str">
        <f t="shared" si="5"/>
        <v/>
      </c>
      <c r="E357" s="159" t="str">
        <f>IF(C357="","",_xlfn.XLOOKUP(C357,Legend!$A$10:$A$26,Legend!$C$10:$C$26,"NOT FOUND",0,1))</f>
        <v/>
      </c>
      <c r="F357" s="160" t="str">
        <f>IF(C357="","",_xlfn.XLOOKUP(D357,Legend!$A$29:$A$118,Legend!$B$29:$B$118,"NOT FOUND",0,1))</f>
        <v/>
      </c>
      <c r="G357" s="268" t="str">
        <f>IF(C357="","",_xlfn.XLOOKUP(D357,Legend!$A$29:$A$118,Legend!$C$29:$C$118,"NOT FOUND",0,1))</f>
        <v/>
      </c>
    </row>
    <row r="358" spans="1:7" x14ac:dyDescent="0.2">
      <c r="A358" s="3">
        <v>1</v>
      </c>
      <c r="C358" s="3" t="str">
        <f>IF(B358="","",IF(ISNUMBER(VALUE(_xlfn.TEXTBEFORE(B358," "))),_xlfn.XLOOKUP(VALUE(_xlfn.TEXTBEFORE(B358," ")),Legend!$B$11:$B$26,Legend!$A$11:$A$26,"NOT FOUND",0,1),_xlfn.TEXTBEFORE(B358," ")))</f>
        <v/>
      </c>
      <c r="D358" s="3" t="str">
        <f t="shared" si="5"/>
        <v/>
      </c>
      <c r="E358" s="159" t="str">
        <f>IF(C358="","",_xlfn.XLOOKUP(C358,Legend!$A$10:$A$26,Legend!$C$10:$C$26,"NOT FOUND",0,1))</f>
        <v/>
      </c>
      <c r="F358" s="160" t="str">
        <f>IF(C358="","",_xlfn.XLOOKUP(D358,Legend!$A$29:$A$118,Legend!$B$29:$B$118,"NOT FOUND",0,1))</f>
        <v/>
      </c>
      <c r="G358" s="268" t="str">
        <f>IF(C358="","",_xlfn.XLOOKUP(D358,Legend!$A$29:$A$118,Legend!$C$29:$C$118,"NOT FOUND",0,1))</f>
        <v/>
      </c>
    </row>
    <row r="359" spans="1:7" x14ac:dyDescent="0.2">
      <c r="A359" s="3">
        <v>1</v>
      </c>
      <c r="C359" s="3" t="str">
        <f>IF(B359="","",IF(ISNUMBER(VALUE(_xlfn.TEXTBEFORE(B359," "))),_xlfn.XLOOKUP(VALUE(_xlfn.TEXTBEFORE(B359," ")),Legend!$B$11:$B$26,Legend!$A$11:$A$26,"NOT FOUND",0,1),_xlfn.TEXTBEFORE(B359," ")))</f>
        <v/>
      </c>
      <c r="D359" s="3" t="str">
        <f t="shared" si="5"/>
        <v/>
      </c>
      <c r="E359" s="159" t="str">
        <f>IF(C359="","",_xlfn.XLOOKUP(C359,Legend!$A$10:$A$26,Legend!$C$10:$C$26,"NOT FOUND",0,1))</f>
        <v/>
      </c>
      <c r="F359" s="160" t="str">
        <f>IF(C359="","",_xlfn.XLOOKUP(D359,Legend!$A$29:$A$118,Legend!$B$29:$B$118,"NOT FOUND",0,1))</f>
        <v/>
      </c>
      <c r="G359" s="268" t="str">
        <f>IF(C359="","",_xlfn.XLOOKUP(D359,Legend!$A$29:$A$118,Legend!$C$29:$C$118,"NOT FOUND",0,1))</f>
        <v/>
      </c>
    </row>
    <row r="360" spans="1:7" x14ac:dyDescent="0.2">
      <c r="A360" s="3">
        <v>1</v>
      </c>
      <c r="C360" s="3" t="str">
        <f>IF(B360="","",IF(ISNUMBER(VALUE(_xlfn.TEXTBEFORE(B360," "))),_xlfn.XLOOKUP(VALUE(_xlfn.TEXTBEFORE(B360," ")),Legend!$B$11:$B$26,Legend!$A$11:$A$26,"NOT FOUND",0,1),_xlfn.TEXTBEFORE(B360," ")))</f>
        <v/>
      </c>
      <c r="D360" s="3" t="str">
        <f t="shared" si="5"/>
        <v/>
      </c>
      <c r="E360" s="159" t="str">
        <f>IF(C360="","",_xlfn.XLOOKUP(C360,Legend!$A$10:$A$26,Legend!$C$10:$C$26,"NOT FOUND",0,1))</f>
        <v/>
      </c>
      <c r="F360" s="160" t="str">
        <f>IF(C360="","",_xlfn.XLOOKUP(D360,Legend!$A$29:$A$118,Legend!$B$29:$B$118,"NOT FOUND",0,1))</f>
        <v/>
      </c>
      <c r="G360" s="268" t="str">
        <f>IF(C360="","",_xlfn.XLOOKUP(D360,Legend!$A$29:$A$118,Legend!$C$29:$C$118,"NOT FOUND",0,1))</f>
        <v/>
      </c>
    </row>
    <row r="361" spans="1:7" x14ac:dyDescent="0.2">
      <c r="A361" s="3">
        <v>1</v>
      </c>
      <c r="C361" s="3" t="str">
        <f>IF(B361="","",IF(ISNUMBER(VALUE(_xlfn.TEXTBEFORE(B361," "))),_xlfn.XLOOKUP(VALUE(_xlfn.TEXTBEFORE(B361," ")),Legend!$B$11:$B$26,Legend!$A$11:$A$26,"NOT FOUND",0,1),_xlfn.TEXTBEFORE(B361," ")))</f>
        <v/>
      </c>
      <c r="D361" s="3" t="str">
        <f t="shared" si="5"/>
        <v/>
      </c>
      <c r="E361" s="159" t="str">
        <f>IF(C361="","",_xlfn.XLOOKUP(C361,Legend!$A$10:$A$26,Legend!$C$10:$C$26,"NOT FOUND",0,1))</f>
        <v/>
      </c>
      <c r="F361" s="160" t="str">
        <f>IF(C361="","",_xlfn.XLOOKUP(D361,Legend!$A$29:$A$118,Legend!$B$29:$B$118,"NOT FOUND",0,1))</f>
        <v/>
      </c>
      <c r="G361" s="268" t="str">
        <f>IF(C361="","",_xlfn.XLOOKUP(D361,Legend!$A$29:$A$118,Legend!$C$29:$C$118,"NOT FOUND",0,1))</f>
        <v/>
      </c>
    </row>
    <row r="362" spans="1:7" x14ac:dyDescent="0.2">
      <c r="A362" s="3">
        <v>1</v>
      </c>
      <c r="C362" s="3" t="str">
        <f>IF(B362="","",IF(ISNUMBER(VALUE(_xlfn.TEXTBEFORE(B362," "))),_xlfn.XLOOKUP(VALUE(_xlfn.TEXTBEFORE(B362," ")),Legend!$B$11:$B$26,Legend!$A$11:$A$26,"NOT FOUND",0,1),_xlfn.TEXTBEFORE(B362," ")))</f>
        <v/>
      </c>
      <c r="D362" s="3" t="str">
        <f t="shared" si="5"/>
        <v/>
      </c>
      <c r="E362" s="159" t="str">
        <f>IF(C362="","",_xlfn.XLOOKUP(C362,Legend!$A$10:$A$26,Legend!$C$10:$C$26,"NOT FOUND",0,1))</f>
        <v/>
      </c>
      <c r="F362" s="160" t="str">
        <f>IF(C362="","",_xlfn.XLOOKUP(D362,Legend!$A$29:$A$118,Legend!$B$29:$B$118,"NOT FOUND",0,1))</f>
        <v/>
      </c>
      <c r="G362" s="268" t="str">
        <f>IF(C362="","",_xlfn.XLOOKUP(D362,Legend!$A$29:$A$118,Legend!$C$29:$C$118,"NOT FOUND",0,1))</f>
        <v/>
      </c>
    </row>
    <row r="363" spans="1:7" x14ac:dyDescent="0.2">
      <c r="A363" s="3">
        <v>1</v>
      </c>
      <c r="C363" s="3" t="str">
        <f>IF(B363="","",IF(ISNUMBER(VALUE(_xlfn.TEXTBEFORE(B363," "))),_xlfn.XLOOKUP(VALUE(_xlfn.TEXTBEFORE(B363," ")),Legend!$B$11:$B$26,Legend!$A$11:$A$26,"NOT FOUND",0,1),_xlfn.TEXTBEFORE(B363," ")))</f>
        <v/>
      </c>
      <c r="D363" s="3" t="str">
        <f t="shared" si="5"/>
        <v/>
      </c>
      <c r="E363" s="159" t="str">
        <f>IF(C363="","",_xlfn.XLOOKUP(C363,Legend!$A$10:$A$26,Legend!$C$10:$C$26,"NOT FOUND",0,1))</f>
        <v/>
      </c>
      <c r="F363" s="160" t="str">
        <f>IF(C363="","",_xlfn.XLOOKUP(D363,Legend!$A$29:$A$118,Legend!$B$29:$B$118,"NOT FOUND",0,1))</f>
        <v/>
      </c>
      <c r="G363" s="268" t="str">
        <f>IF(C363="","",_xlfn.XLOOKUP(D363,Legend!$A$29:$A$118,Legend!$C$29:$C$118,"NOT FOUND",0,1))</f>
        <v/>
      </c>
    </row>
    <row r="364" spans="1:7" x14ac:dyDescent="0.2">
      <c r="A364" s="3">
        <v>1</v>
      </c>
      <c r="C364" s="3" t="str">
        <f>IF(B364="","",IF(ISNUMBER(VALUE(_xlfn.TEXTBEFORE(B364," "))),_xlfn.XLOOKUP(VALUE(_xlfn.TEXTBEFORE(B364," ")),Legend!$B$11:$B$26,Legend!$A$11:$A$26,"NOT FOUND",0,1),_xlfn.TEXTBEFORE(B364," ")))</f>
        <v/>
      </c>
      <c r="D364" s="3" t="str">
        <f t="shared" si="5"/>
        <v/>
      </c>
      <c r="E364" s="159" t="str">
        <f>IF(C364="","",_xlfn.XLOOKUP(C364,Legend!$A$10:$A$26,Legend!$C$10:$C$26,"NOT FOUND",0,1))</f>
        <v/>
      </c>
      <c r="F364" s="160" t="str">
        <f>IF(C364="","",_xlfn.XLOOKUP(D364,Legend!$A$29:$A$118,Legend!$B$29:$B$118,"NOT FOUND",0,1))</f>
        <v/>
      </c>
      <c r="G364" s="268" t="str">
        <f>IF(C364="","",_xlfn.XLOOKUP(D364,Legend!$A$29:$A$118,Legend!$C$29:$C$118,"NOT FOUND",0,1))</f>
        <v/>
      </c>
    </row>
    <row r="365" spans="1:7" x14ac:dyDescent="0.2">
      <c r="A365" s="3">
        <v>1</v>
      </c>
      <c r="C365" s="3" t="str">
        <f>IF(B365="","",IF(ISNUMBER(VALUE(_xlfn.TEXTBEFORE(B365," "))),_xlfn.XLOOKUP(VALUE(_xlfn.TEXTBEFORE(B365," ")),Legend!$B$11:$B$26,Legend!$A$11:$A$26,"NOT FOUND",0,1),_xlfn.TEXTBEFORE(B365," ")))</f>
        <v/>
      </c>
      <c r="D365" s="3" t="str">
        <f t="shared" si="5"/>
        <v/>
      </c>
      <c r="E365" s="159" t="str">
        <f>IF(C365="","",_xlfn.XLOOKUP(C365,Legend!$A$10:$A$26,Legend!$C$10:$C$26,"NOT FOUND",0,1))</f>
        <v/>
      </c>
      <c r="F365" s="160" t="str">
        <f>IF(C365="","",_xlfn.XLOOKUP(D365,Legend!$A$29:$A$118,Legend!$B$29:$B$118,"NOT FOUND",0,1))</f>
        <v/>
      </c>
      <c r="G365" s="268" t="str">
        <f>IF(C365="","",_xlfn.XLOOKUP(D365,Legend!$A$29:$A$118,Legend!$C$29:$C$118,"NOT FOUND",0,1))</f>
        <v/>
      </c>
    </row>
    <row r="366" spans="1:7" x14ac:dyDescent="0.2">
      <c r="A366" s="3">
        <v>1</v>
      </c>
      <c r="C366" s="3" t="str">
        <f>IF(B366="","",IF(ISNUMBER(VALUE(_xlfn.TEXTBEFORE(B366," "))),_xlfn.XLOOKUP(VALUE(_xlfn.TEXTBEFORE(B366," ")),Legend!$B$11:$B$26,Legend!$A$11:$A$26,"NOT FOUND",0,1),_xlfn.TEXTBEFORE(B366," ")))</f>
        <v/>
      </c>
      <c r="D366" s="3" t="str">
        <f t="shared" si="5"/>
        <v/>
      </c>
      <c r="E366" s="159" t="str">
        <f>IF(C366="","",_xlfn.XLOOKUP(C366,Legend!$A$10:$A$26,Legend!$C$10:$C$26,"NOT FOUND",0,1))</f>
        <v/>
      </c>
      <c r="F366" s="160" t="str">
        <f>IF(C366="","",_xlfn.XLOOKUP(D366,Legend!$A$29:$A$118,Legend!$B$29:$B$118,"NOT FOUND",0,1))</f>
        <v/>
      </c>
      <c r="G366" s="268" t="str">
        <f>IF(C366="","",_xlfn.XLOOKUP(D366,Legend!$A$29:$A$118,Legend!$C$29:$C$118,"NOT FOUND",0,1))</f>
        <v/>
      </c>
    </row>
    <row r="367" spans="1:7" x14ac:dyDescent="0.2">
      <c r="A367" s="3">
        <v>1</v>
      </c>
      <c r="C367" s="3" t="str">
        <f>IF(B367="","",IF(ISNUMBER(VALUE(_xlfn.TEXTBEFORE(B367," "))),_xlfn.XLOOKUP(VALUE(_xlfn.TEXTBEFORE(B367," ")),Legend!$B$11:$B$26,Legend!$A$11:$A$26,"NOT FOUND",0,1),_xlfn.TEXTBEFORE(B367," ")))</f>
        <v/>
      </c>
      <c r="D367" s="3" t="str">
        <f t="shared" si="5"/>
        <v/>
      </c>
      <c r="E367" s="159" t="str">
        <f>IF(C367="","",_xlfn.XLOOKUP(C367,Legend!$A$10:$A$26,Legend!$C$10:$C$26,"NOT FOUND",0,1))</f>
        <v/>
      </c>
      <c r="F367" s="160" t="str">
        <f>IF(C367="","",_xlfn.XLOOKUP(D367,Legend!$A$29:$A$118,Legend!$B$29:$B$118,"NOT FOUND",0,1))</f>
        <v/>
      </c>
      <c r="G367" s="268" t="str">
        <f>IF(C367="","",_xlfn.XLOOKUP(D367,Legend!$A$29:$A$118,Legend!$C$29:$C$118,"NOT FOUND",0,1))</f>
        <v/>
      </c>
    </row>
    <row r="368" spans="1:7" x14ac:dyDescent="0.2">
      <c r="A368" s="3">
        <v>1</v>
      </c>
      <c r="C368" s="3" t="str">
        <f>IF(B368="","",IF(ISNUMBER(VALUE(_xlfn.TEXTBEFORE(B368," "))),_xlfn.XLOOKUP(VALUE(_xlfn.TEXTBEFORE(B368," ")),Legend!$B$11:$B$26,Legend!$A$11:$A$26,"NOT FOUND",0,1),_xlfn.TEXTBEFORE(B368," ")))</f>
        <v/>
      </c>
      <c r="D368" s="3" t="str">
        <f t="shared" si="5"/>
        <v/>
      </c>
      <c r="E368" s="159" t="str">
        <f>IF(C368="","",_xlfn.XLOOKUP(C368,Legend!$A$10:$A$26,Legend!$C$10:$C$26,"NOT FOUND",0,1))</f>
        <v/>
      </c>
      <c r="F368" s="160" t="str">
        <f>IF(C368="","",_xlfn.XLOOKUP(D368,Legend!$A$29:$A$118,Legend!$B$29:$B$118,"NOT FOUND",0,1))</f>
        <v/>
      </c>
      <c r="G368" s="268" t="str">
        <f>IF(C368="","",_xlfn.XLOOKUP(D368,Legend!$A$29:$A$118,Legend!$C$29:$C$118,"NOT FOUND",0,1))</f>
        <v/>
      </c>
    </row>
    <row r="369" spans="1:7" x14ac:dyDescent="0.2">
      <c r="A369" s="3">
        <v>1</v>
      </c>
      <c r="C369" s="3" t="str">
        <f>IF(B369="","",IF(ISNUMBER(VALUE(_xlfn.TEXTBEFORE(B369," "))),_xlfn.XLOOKUP(VALUE(_xlfn.TEXTBEFORE(B369," ")),Legend!$B$11:$B$26,Legend!$A$11:$A$26,"NOT FOUND",0,1),_xlfn.TEXTBEFORE(B369," ")))</f>
        <v/>
      </c>
      <c r="D369" s="3" t="str">
        <f t="shared" si="5"/>
        <v/>
      </c>
      <c r="E369" s="159" t="str">
        <f>IF(C369="","",_xlfn.XLOOKUP(C369,Legend!$A$10:$A$26,Legend!$C$10:$C$26,"NOT FOUND",0,1))</f>
        <v/>
      </c>
      <c r="F369" s="160" t="str">
        <f>IF(C369="","",_xlfn.XLOOKUP(D369,Legend!$A$29:$A$118,Legend!$B$29:$B$118,"NOT FOUND",0,1))</f>
        <v/>
      </c>
      <c r="G369" s="268" t="str">
        <f>IF(C369="","",_xlfn.XLOOKUP(D369,Legend!$A$29:$A$118,Legend!$C$29:$C$118,"NOT FOUND",0,1))</f>
        <v/>
      </c>
    </row>
    <row r="370" spans="1:7" x14ac:dyDescent="0.2">
      <c r="A370" s="3">
        <v>1</v>
      </c>
      <c r="C370" s="3" t="str">
        <f>IF(B370="","",IF(ISNUMBER(VALUE(_xlfn.TEXTBEFORE(B370," "))),_xlfn.XLOOKUP(VALUE(_xlfn.TEXTBEFORE(B370," ")),Legend!$B$11:$B$26,Legend!$A$11:$A$26,"NOT FOUND",0,1),_xlfn.TEXTBEFORE(B370," ")))</f>
        <v/>
      </c>
      <c r="D370" s="3" t="str">
        <f t="shared" si="5"/>
        <v/>
      </c>
      <c r="E370" s="159" t="str">
        <f>IF(C370="","",_xlfn.XLOOKUP(C370,Legend!$A$10:$A$26,Legend!$C$10:$C$26,"NOT FOUND",0,1))</f>
        <v/>
      </c>
      <c r="F370" s="160" t="str">
        <f>IF(C370="","",_xlfn.XLOOKUP(D370,Legend!$A$29:$A$118,Legend!$B$29:$B$118,"NOT FOUND",0,1))</f>
        <v/>
      </c>
      <c r="G370" s="268" t="str">
        <f>IF(C370="","",_xlfn.XLOOKUP(D370,Legend!$A$29:$A$118,Legend!$C$29:$C$118,"NOT FOUND",0,1))</f>
        <v/>
      </c>
    </row>
    <row r="371" spans="1:7" x14ac:dyDescent="0.2">
      <c r="A371" s="3">
        <v>1</v>
      </c>
      <c r="C371" s="3" t="str">
        <f>IF(B371="","",IF(ISNUMBER(VALUE(_xlfn.TEXTBEFORE(B371," "))),_xlfn.XLOOKUP(VALUE(_xlfn.TEXTBEFORE(B371," ")),Legend!$B$11:$B$26,Legend!$A$11:$A$26,"NOT FOUND",0,1),_xlfn.TEXTBEFORE(B371," ")))</f>
        <v/>
      </c>
      <c r="D371" s="3" t="str">
        <f t="shared" si="5"/>
        <v/>
      </c>
      <c r="E371" s="159" t="str">
        <f>IF(C371="","",_xlfn.XLOOKUP(C371,Legend!$A$10:$A$26,Legend!$C$10:$C$26,"NOT FOUND",0,1))</f>
        <v/>
      </c>
      <c r="F371" s="160" t="str">
        <f>IF(C371="","",_xlfn.XLOOKUP(D371,Legend!$A$29:$A$118,Legend!$B$29:$B$118,"NOT FOUND",0,1))</f>
        <v/>
      </c>
      <c r="G371" s="268" t="str">
        <f>IF(C371="","",_xlfn.XLOOKUP(D371,Legend!$A$29:$A$118,Legend!$C$29:$C$118,"NOT FOUND",0,1))</f>
        <v/>
      </c>
    </row>
    <row r="372" spans="1:7" x14ac:dyDescent="0.2">
      <c r="A372" s="3">
        <v>1</v>
      </c>
      <c r="C372" s="3" t="str">
        <f>IF(B372="","",IF(ISNUMBER(VALUE(_xlfn.TEXTBEFORE(B372," "))),_xlfn.XLOOKUP(VALUE(_xlfn.TEXTBEFORE(B372," ")),Legend!$B$11:$B$26,Legend!$A$11:$A$26,"NOT FOUND",0,1),_xlfn.TEXTBEFORE(B372," ")))</f>
        <v/>
      </c>
      <c r="D372" s="3" t="str">
        <f t="shared" si="5"/>
        <v/>
      </c>
      <c r="E372" s="159" t="str">
        <f>IF(C372="","",_xlfn.XLOOKUP(C372,Legend!$A$10:$A$26,Legend!$C$10:$C$26,"NOT FOUND",0,1))</f>
        <v/>
      </c>
      <c r="F372" s="160" t="str">
        <f>IF(C372="","",_xlfn.XLOOKUP(D372,Legend!$A$29:$A$118,Legend!$B$29:$B$118,"NOT FOUND",0,1))</f>
        <v/>
      </c>
      <c r="G372" s="268" t="str">
        <f>IF(C372="","",_xlfn.XLOOKUP(D372,Legend!$A$29:$A$118,Legend!$C$29:$C$118,"NOT FOUND",0,1))</f>
        <v/>
      </c>
    </row>
    <row r="373" spans="1:7" x14ac:dyDescent="0.2">
      <c r="A373" s="3">
        <v>1</v>
      </c>
      <c r="C373" s="3" t="str">
        <f>IF(B373="","",IF(ISNUMBER(VALUE(_xlfn.TEXTBEFORE(B373," "))),_xlfn.XLOOKUP(VALUE(_xlfn.TEXTBEFORE(B373," ")),Legend!$B$11:$B$26,Legend!$A$11:$A$26,"NOT FOUND",0,1),_xlfn.TEXTBEFORE(B373," ")))</f>
        <v/>
      </c>
      <c r="D373" s="3" t="str">
        <f t="shared" si="5"/>
        <v/>
      </c>
      <c r="E373" s="159" t="str">
        <f>IF(C373="","",_xlfn.XLOOKUP(C373,Legend!$A$10:$A$26,Legend!$C$10:$C$26,"NOT FOUND",0,1))</f>
        <v/>
      </c>
      <c r="F373" s="160" t="str">
        <f>IF(C373="","",_xlfn.XLOOKUP(D373,Legend!$A$29:$A$118,Legend!$B$29:$B$118,"NOT FOUND",0,1))</f>
        <v/>
      </c>
      <c r="G373" s="268" t="str">
        <f>IF(C373="","",_xlfn.XLOOKUP(D373,Legend!$A$29:$A$118,Legend!$C$29:$C$118,"NOT FOUND",0,1))</f>
        <v/>
      </c>
    </row>
    <row r="374" spans="1:7" x14ac:dyDescent="0.2">
      <c r="A374" s="3">
        <v>1</v>
      </c>
      <c r="C374" s="3" t="str">
        <f>IF(B374="","",IF(ISNUMBER(VALUE(_xlfn.TEXTBEFORE(B374," "))),_xlfn.XLOOKUP(VALUE(_xlfn.TEXTBEFORE(B374," ")),Legend!$B$11:$B$26,Legend!$A$11:$A$26,"NOT FOUND",0,1),_xlfn.TEXTBEFORE(B374," ")))</f>
        <v/>
      </c>
      <c r="D374" s="3" t="str">
        <f t="shared" si="5"/>
        <v/>
      </c>
      <c r="E374" s="159" t="str">
        <f>IF(C374="","",_xlfn.XLOOKUP(C374,Legend!$A$10:$A$26,Legend!$C$10:$C$26,"NOT FOUND",0,1))</f>
        <v/>
      </c>
      <c r="F374" s="160" t="str">
        <f>IF(C374="","",_xlfn.XLOOKUP(D374,Legend!$A$29:$A$118,Legend!$B$29:$B$118,"NOT FOUND",0,1))</f>
        <v/>
      </c>
      <c r="G374" s="268" t="str">
        <f>IF(C374="","",_xlfn.XLOOKUP(D374,Legend!$A$29:$A$118,Legend!$C$29:$C$118,"NOT FOUND",0,1))</f>
        <v/>
      </c>
    </row>
    <row r="375" spans="1:7" x14ac:dyDescent="0.2">
      <c r="A375" s="3">
        <v>1</v>
      </c>
      <c r="C375" s="3" t="str">
        <f>IF(B375="","",IF(ISNUMBER(VALUE(_xlfn.TEXTBEFORE(B375," "))),_xlfn.XLOOKUP(VALUE(_xlfn.TEXTBEFORE(B375," ")),Legend!$B$11:$B$26,Legend!$A$11:$A$26,"NOT FOUND",0,1),_xlfn.TEXTBEFORE(B375," ")))</f>
        <v/>
      </c>
      <c r="D375" s="3" t="str">
        <f t="shared" si="5"/>
        <v/>
      </c>
      <c r="E375" s="159" t="str">
        <f>IF(C375="","",_xlfn.XLOOKUP(C375,Legend!$A$10:$A$26,Legend!$C$10:$C$26,"NOT FOUND",0,1))</f>
        <v/>
      </c>
      <c r="F375" s="160" t="str">
        <f>IF(C375="","",_xlfn.XLOOKUP(D375,Legend!$A$29:$A$118,Legend!$B$29:$B$118,"NOT FOUND",0,1))</f>
        <v/>
      </c>
      <c r="G375" s="268" t="str">
        <f>IF(C375="","",_xlfn.XLOOKUP(D375,Legend!$A$29:$A$118,Legend!$C$29:$C$118,"NOT FOUND",0,1))</f>
        <v/>
      </c>
    </row>
    <row r="376" spans="1:7" x14ac:dyDescent="0.2">
      <c r="A376" s="3">
        <v>1</v>
      </c>
      <c r="C376" s="3" t="str">
        <f>IF(B376="","",IF(ISNUMBER(VALUE(_xlfn.TEXTBEFORE(B376," "))),_xlfn.XLOOKUP(VALUE(_xlfn.TEXTBEFORE(B376," ")),Legend!$B$11:$B$26,Legend!$A$11:$A$26,"NOT FOUND",0,1),_xlfn.TEXTBEFORE(B376," ")))</f>
        <v/>
      </c>
      <c r="D376" s="3" t="str">
        <f t="shared" si="5"/>
        <v/>
      </c>
      <c r="E376" s="159" t="str">
        <f>IF(C376="","",_xlfn.XLOOKUP(C376,Legend!$A$10:$A$26,Legend!$C$10:$C$26,"NOT FOUND",0,1))</f>
        <v/>
      </c>
      <c r="F376" s="160" t="str">
        <f>IF(C376="","",_xlfn.XLOOKUP(D376,Legend!$A$29:$A$118,Legend!$B$29:$B$118,"NOT FOUND",0,1))</f>
        <v/>
      </c>
      <c r="G376" s="268" t="str">
        <f>IF(C376="","",_xlfn.XLOOKUP(D376,Legend!$A$29:$A$118,Legend!$C$29:$C$118,"NOT FOUND",0,1))</f>
        <v/>
      </c>
    </row>
    <row r="377" spans="1:7" x14ac:dyDescent="0.2">
      <c r="A377" s="3">
        <v>1</v>
      </c>
      <c r="C377" s="3" t="str">
        <f>IF(B377="","",IF(ISNUMBER(VALUE(_xlfn.TEXTBEFORE(B377," "))),_xlfn.XLOOKUP(VALUE(_xlfn.TEXTBEFORE(B377," ")),Legend!$B$11:$B$26,Legend!$A$11:$A$26,"NOT FOUND",0,1),_xlfn.TEXTBEFORE(B377," ")))</f>
        <v/>
      </c>
      <c r="D377" s="3" t="str">
        <f t="shared" si="5"/>
        <v/>
      </c>
      <c r="E377" s="159" t="str">
        <f>IF(C377="","",_xlfn.XLOOKUP(C377,Legend!$A$10:$A$26,Legend!$C$10:$C$26,"NOT FOUND",0,1))</f>
        <v/>
      </c>
      <c r="F377" s="160" t="str">
        <f>IF(C377="","",_xlfn.XLOOKUP(D377,Legend!$A$29:$A$118,Legend!$B$29:$B$118,"NOT FOUND",0,1))</f>
        <v/>
      </c>
      <c r="G377" s="268" t="str">
        <f>IF(C377="","",_xlfn.XLOOKUP(D377,Legend!$A$29:$A$118,Legend!$C$29:$C$118,"NOT FOUND",0,1))</f>
        <v/>
      </c>
    </row>
    <row r="378" spans="1:7" x14ac:dyDescent="0.2">
      <c r="A378" s="3">
        <v>1</v>
      </c>
      <c r="C378" s="3" t="str">
        <f>IF(B378="","",IF(ISNUMBER(VALUE(_xlfn.TEXTBEFORE(B378," "))),_xlfn.XLOOKUP(VALUE(_xlfn.TEXTBEFORE(B378," ")),Legend!$B$11:$B$26,Legend!$A$11:$A$26,"NOT FOUND",0,1),_xlfn.TEXTBEFORE(B378," ")))</f>
        <v/>
      </c>
      <c r="D378" s="3" t="str">
        <f t="shared" si="5"/>
        <v/>
      </c>
      <c r="E378" s="159" t="str">
        <f>IF(C378="","",_xlfn.XLOOKUP(C378,Legend!$A$10:$A$26,Legend!$C$10:$C$26,"NOT FOUND",0,1))</f>
        <v/>
      </c>
      <c r="F378" s="160" t="str">
        <f>IF(C378="","",_xlfn.XLOOKUP(D378,Legend!$A$29:$A$118,Legend!$B$29:$B$118,"NOT FOUND",0,1))</f>
        <v/>
      </c>
      <c r="G378" s="268" t="str">
        <f>IF(C378="","",_xlfn.XLOOKUP(D378,Legend!$A$29:$A$118,Legend!$C$29:$C$118,"NOT FOUND",0,1))</f>
        <v/>
      </c>
    </row>
    <row r="379" spans="1:7" x14ac:dyDescent="0.2">
      <c r="A379" s="3">
        <v>1</v>
      </c>
      <c r="C379" s="3" t="str">
        <f>IF(B379="","",IF(ISNUMBER(VALUE(_xlfn.TEXTBEFORE(B379," "))),_xlfn.XLOOKUP(VALUE(_xlfn.TEXTBEFORE(B379," ")),Legend!$B$11:$B$26,Legend!$A$11:$A$26,"NOT FOUND",0,1),_xlfn.TEXTBEFORE(B379," ")))</f>
        <v/>
      </c>
      <c r="D379" s="3" t="str">
        <f t="shared" si="5"/>
        <v/>
      </c>
      <c r="E379" s="159" t="str">
        <f>IF(C379="","",_xlfn.XLOOKUP(C379,Legend!$A$10:$A$26,Legend!$C$10:$C$26,"NOT FOUND",0,1))</f>
        <v/>
      </c>
      <c r="F379" s="160" t="str">
        <f>IF(C379="","",_xlfn.XLOOKUP(D379,Legend!$A$29:$A$118,Legend!$B$29:$B$118,"NOT FOUND",0,1))</f>
        <v/>
      </c>
      <c r="G379" s="268" t="str">
        <f>IF(C379="","",_xlfn.XLOOKUP(D379,Legend!$A$29:$A$118,Legend!$C$29:$C$118,"NOT FOUND",0,1))</f>
        <v/>
      </c>
    </row>
    <row r="380" spans="1:7" x14ac:dyDescent="0.2">
      <c r="A380" s="3">
        <v>1</v>
      </c>
      <c r="C380" s="3" t="str">
        <f>IF(B380="","",IF(ISNUMBER(VALUE(_xlfn.TEXTBEFORE(B380," "))),_xlfn.XLOOKUP(VALUE(_xlfn.TEXTBEFORE(B380," ")),Legend!$B$11:$B$26,Legend!$A$11:$A$26,"NOT FOUND",0,1),_xlfn.TEXTBEFORE(B380," ")))</f>
        <v/>
      </c>
      <c r="D380" s="3" t="str">
        <f t="shared" si="5"/>
        <v/>
      </c>
      <c r="E380" s="159" t="str">
        <f>IF(C380="","",_xlfn.XLOOKUP(C380,Legend!$A$10:$A$26,Legend!$C$10:$C$26,"NOT FOUND",0,1))</f>
        <v/>
      </c>
      <c r="F380" s="160" t="str">
        <f>IF(C380="","",_xlfn.XLOOKUP(D380,Legend!$A$29:$A$118,Legend!$B$29:$B$118,"NOT FOUND",0,1))</f>
        <v/>
      </c>
      <c r="G380" s="268" t="str">
        <f>IF(C380="","",_xlfn.XLOOKUP(D380,Legend!$A$29:$A$118,Legend!$C$29:$C$118,"NOT FOUND",0,1))</f>
        <v/>
      </c>
    </row>
    <row r="381" spans="1:7" x14ac:dyDescent="0.2">
      <c r="A381" s="3">
        <v>1</v>
      </c>
      <c r="C381" s="3" t="str">
        <f>IF(B381="","",IF(ISNUMBER(VALUE(_xlfn.TEXTBEFORE(B381," "))),_xlfn.XLOOKUP(VALUE(_xlfn.TEXTBEFORE(B381," ")),Legend!$B$11:$B$26,Legend!$A$11:$A$26,"NOT FOUND",0,1),_xlfn.TEXTBEFORE(B381," ")))</f>
        <v/>
      </c>
      <c r="D381" s="3" t="str">
        <f t="shared" si="5"/>
        <v/>
      </c>
      <c r="E381" s="159" t="str">
        <f>IF(C381="","",_xlfn.XLOOKUP(C381,Legend!$A$10:$A$26,Legend!$C$10:$C$26,"NOT FOUND",0,1))</f>
        <v/>
      </c>
      <c r="F381" s="160" t="str">
        <f>IF(C381="","",_xlfn.XLOOKUP(D381,Legend!$A$29:$A$118,Legend!$B$29:$B$118,"NOT FOUND",0,1))</f>
        <v/>
      </c>
      <c r="G381" s="268" t="str">
        <f>IF(C381="","",_xlfn.XLOOKUP(D381,Legend!$A$29:$A$118,Legend!$C$29:$C$118,"NOT FOUND",0,1))</f>
        <v/>
      </c>
    </row>
    <row r="382" spans="1:7" x14ac:dyDescent="0.2">
      <c r="A382" s="3">
        <v>1</v>
      </c>
      <c r="C382" s="3" t="str">
        <f>IF(B382="","",IF(ISNUMBER(VALUE(_xlfn.TEXTBEFORE(B382," "))),_xlfn.XLOOKUP(VALUE(_xlfn.TEXTBEFORE(B382," ")),Legend!$B$11:$B$26,Legend!$A$11:$A$26,"NOT FOUND",0,1),_xlfn.TEXTBEFORE(B382," ")))</f>
        <v/>
      </c>
      <c r="D382" s="3" t="str">
        <f t="shared" si="5"/>
        <v/>
      </c>
      <c r="E382" s="159" t="str">
        <f>IF(C382="","",_xlfn.XLOOKUP(C382,Legend!$A$10:$A$26,Legend!$C$10:$C$26,"NOT FOUND",0,1))</f>
        <v/>
      </c>
      <c r="F382" s="160" t="str">
        <f>IF(C382="","",_xlfn.XLOOKUP(D382,Legend!$A$29:$A$118,Legend!$B$29:$B$118,"NOT FOUND",0,1))</f>
        <v/>
      </c>
      <c r="G382" s="268" t="str">
        <f>IF(C382="","",_xlfn.XLOOKUP(D382,Legend!$A$29:$A$118,Legend!$C$29:$C$118,"NOT FOUND",0,1))</f>
        <v/>
      </c>
    </row>
    <row r="383" spans="1:7" x14ac:dyDescent="0.2">
      <c r="A383" s="3">
        <v>1</v>
      </c>
      <c r="C383" s="3" t="str">
        <f>IF(B383="","",IF(ISNUMBER(VALUE(_xlfn.TEXTBEFORE(B383," "))),_xlfn.XLOOKUP(VALUE(_xlfn.TEXTBEFORE(B383," ")),Legend!$B$11:$B$26,Legend!$A$11:$A$26,"NOT FOUND",0,1),_xlfn.TEXTBEFORE(B383," ")))</f>
        <v/>
      </c>
      <c r="D383" s="3" t="str">
        <f t="shared" ref="D383:D442" si="6">IF(B383="","",_xlfn.TEXTAFTER(B383," "))</f>
        <v/>
      </c>
      <c r="E383" s="159" t="str">
        <f>IF(C383="","",_xlfn.XLOOKUP(C383,Legend!$A$10:$A$26,Legend!$C$10:$C$26,"NOT FOUND",0,1))</f>
        <v/>
      </c>
      <c r="F383" s="160" t="str">
        <f>IF(C383="","",_xlfn.XLOOKUP(D383,Legend!$A$29:$A$118,Legend!$B$29:$B$118,"NOT FOUND",0,1))</f>
        <v/>
      </c>
      <c r="G383" s="268" t="str">
        <f>IF(C383="","",_xlfn.XLOOKUP(D383,Legend!$A$29:$A$118,Legend!$C$29:$C$118,"NOT FOUND",0,1))</f>
        <v/>
      </c>
    </row>
    <row r="384" spans="1:7" x14ac:dyDescent="0.2">
      <c r="A384" s="3">
        <v>1</v>
      </c>
      <c r="C384" s="3" t="str">
        <f>IF(B384="","",IF(ISNUMBER(VALUE(_xlfn.TEXTBEFORE(B384," "))),_xlfn.XLOOKUP(VALUE(_xlfn.TEXTBEFORE(B384," ")),Legend!$B$11:$B$26,Legend!$A$11:$A$26,"NOT FOUND",0,1),_xlfn.TEXTBEFORE(B384," ")))</f>
        <v/>
      </c>
      <c r="D384" s="3" t="str">
        <f t="shared" si="6"/>
        <v/>
      </c>
      <c r="E384" s="159" t="str">
        <f>IF(C384="","",_xlfn.XLOOKUP(C384,Legend!$A$10:$A$26,Legend!$C$10:$C$26,"NOT FOUND",0,1))</f>
        <v/>
      </c>
      <c r="F384" s="160" t="str">
        <f>IF(C384="","",_xlfn.XLOOKUP(D384,Legend!$A$29:$A$118,Legend!$B$29:$B$118,"NOT FOUND",0,1))</f>
        <v/>
      </c>
      <c r="G384" s="268" t="str">
        <f>IF(C384="","",_xlfn.XLOOKUP(D384,Legend!$A$29:$A$118,Legend!$C$29:$C$118,"NOT FOUND",0,1))</f>
        <v/>
      </c>
    </row>
    <row r="385" spans="1:7" x14ac:dyDescent="0.2">
      <c r="A385" s="3">
        <v>1</v>
      </c>
      <c r="C385" s="3" t="str">
        <f>IF(B385="","",IF(ISNUMBER(VALUE(_xlfn.TEXTBEFORE(B385," "))),_xlfn.XLOOKUP(VALUE(_xlfn.TEXTBEFORE(B385," ")),Legend!$B$11:$B$26,Legend!$A$11:$A$26,"NOT FOUND",0,1),_xlfn.TEXTBEFORE(B385," ")))</f>
        <v/>
      </c>
      <c r="D385" s="3" t="str">
        <f t="shared" si="6"/>
        <v/>
      </c>
      <c r="E385" s="159" t="str">
        <f>IF(C385="","",_xlfn.XLOOKUP(C385,Legend!$A$10:$A$26,Legend!$C$10:$C$26,"NOT FOUND",0,1))</f>
        <v/>
      </c>
      <c r="F385" s="160" t="str">
        <f>IF(C385="","",_xlfn.XLOOKUP(D385,Legend!$A$29:$A$118,Legend!$B$29:$B$118,"NOT FOUND",0,1))</f>
        <v/>
      </c>
      <c r="G385" s="268" t="str">
        <f>IF(C385="","",_xlfn.XLOOKUP(D385,Legend!$A$29:$A$118,Legend!$C$29:$C$118,"NOT FOUND",0,1))</f>
        <v/>
      </c>
    </row>
    <row r="386" spans="1:7" x14ac:dyDescent="0.2">
      <c r="A386" s="3">
        <v>1</v>
      </c>
      <c r="C386" s="3" t="str">
        <f>IF(B386="","",IF(ISNUMBER(VALUE(_xlfn.TEXTBEFORE(B386," "))),_xlfn.XLOOKUP(VALUE(_xlfn.TEXTBEFORE(B386," ")),Legend!$B$11:$B$26,Legend!$A$11:$A$26,"NOT FOUND",0,1),_xlfn.TEXTBEFORE(B386," ")))</f>
        <v/>
      </c>
      <c r="D386" s="3" t="str">
        <f t="shared" si="6"/>
        <v/>
      </c>
      <c r="E386" s="159" t="str">
        <f>IF(C386="","",_xlfn.XLOOKUP(C386,Legend!$A$10:$A$26,Legend!$C$10:$C$26,"NOT FOUND",0,1))</f>
        <v/>
      </c>
      <c r="F386" s="160" t="str">
        <f>IF(C386="","",_xlfn.XLOOKUP(D386,Legend!$A$29:$A$118,Legend!$B$29:$B$118,"NOT FOUND",0,1))</f>
        <v/>
      </c>
      <c r="G386" s="268" t="str">
        <f>IF(C386="","",_xlfn.XLOOKUP(D386,Legend!$A$29:$A$118,Legend!$C$29:$C$118,"NOT FOUND",0,1))</f>
        <v/>
      </c>
    </row>
    <row r="387" spans="1:7" x14ac:dyDescent="0.2">
      <c r="A387" s="3">
        <v>1</v>
      </c>
      <c r="C387" s="3" t="str">
        <f>IF(B387="","",IF(ISNUMBER(VALUE(_xlfn.TEXTBEFORE(B387," "))),_xlfn.XLOOKUP(VALUE(_xlfn.TEXTBEFORE(B387," ")),Legend!$B$11:$B$26,Legend!$A$11:$A$26,"NOT FOUND",0,1),_xlfn.TEXTBEFORE(B387," ")))</f>
        <v/>
      </c>
      <c r="D387" s="3" t="str">
        <f t="shared" si="6"/>
        <v/>
      </c>
      <c r="E387" s="159" t="str">
        <f>IF(C387="","",_xlfn.XLOOKUP(C387,Legend!$A$10:$A$26,Legend!$C$10:$C$26,"NOT FOUND",0,1))</f>
        <v/>
      </c>
      <c r="F387" s="160" t="str">
        <f>IF(C387="","",_xlfn.XLOOKUP(D387,Legend!$A$29:$A$118,Legend!$B$29:$B$118,"NOT FOUND",0,1))</f>
        <v/>
      </c>
      <c r="G387" s="268" t="str">
        <f>IF(C387="","",_xlfn.XLOOKUP(D387,Legend!$A$29:$A$118,Legend!$C$29:$C$118,"NOT FOUND",0,1))</f>
        <v/>
      </c>
    </row>
    <row r="388" spans="1:7" x14ac:dyDescent="0.2">
      <c r="A388" s="3">
        <v>1</v>
      </c>
      <c r="C388" s="3" t="str">
        <f>IF(B388="","",IF(ISNUMBER(VALUE(_xlfn.TEXTBEFORE(B388," "))),_xlfn.XLOOKUP(VALUE(_xlfn.TEXTBEFORE(B388," ")),Legend!$B$11:$B$26,Legend!$A$11:$A$26,"NOT FOUND",0,1),_xlfn.TEXTBEFORE(B388," ")))</f>
        <v/>
      </c>
      <c r="D388" s="3" t="str">
        <f t="shared" si="6"/>
        <v/>
      </c>
      <c r="E388" s="159" t="str">
        <f>IF(C388="","",_xlfn.XLOOKUP(C388,Legend!$A$10:$A$26,Legend!$C$10:$C$26,"NOT FOUND",0,1))</f>
        <v/>
      </c>
      <c r="F388" s="160" t="str">
        <f>IF(C388="","",_xlfn.XLOOKUP(D388,Legend!$A$29:$A$118,Legend!$B$29:$B$118,"NOT FOUND",0,1))</f>
        <v/>
      </c>
      <c r="G388" s="268" t="str">
        <f>IF(C388="","",_xlfn.XLOOKUP(D388,Legend!$A$29:$A$118,Legend!$C$29:$C$118,"NOT FOUND",0,1))</f>
        <v/>
      </c>
    </row>
    <row r="389" spans="1:7" x14ac:dyDescent="0.2">
      <c r="A389" s="3">
        <v>1</v>
      </c>
      <c r="C389" s="3" t="str">
        <f>IF(B389="","",IF(ISNUMBER(VALUE(_xlfn.TEXTBEFORE(B389," "))),_xlfn.XLOOKUP(VALUE(_xlfn.TEXTBEFORE(B389," ")),Legend!$B$11:$B$26,Legend!$A$11:$A$26,"NOT FOUND",0,1),_xlfn.TEXTBEFORE(B389," ")))</f>
        <v/>
      </c>
      <c r="D389" s="3" t="str">
        <f t="shared" si="6"/>
        <v/>
      </c>
      <c r="E389" s="159" t="str">
        <f>IF(C389="","",_xlfn.XLOOKUP(C389,Legend!$A$10:$A$26,Legend!$C$10:$C$26,"NOT FOUND",0,1))</f>
        <v/>
      </c>
      <c r="F389" s="160" t="str">
        <f>IF(C389="","",_xlfn.XLOOKUP(D389,Legend!$A$29:$A$118,Legend!$B$29:$B$118,"NOT FOUND",0,1))</f>
        <v/>
      </c>
      <c r="G389" s="268" t="str">
        <f>IF(C389="","",_xlfn.XLOOKUP(D389,Legend!$A$29:$A$118,Legend!$C$29:$C$118,"NOT FOUND",0,1))</f>
        <v/>
      </c>
    </row>
    <row r="390" spans="1:7" x14ac:dyDescent="0.2">
      <c r="A390" s="3">
        <v>1</v>
      </c>
      <c r="C390" s="3" t="str">
        <f>IF(B390="","",IF(ISNUMBER(VALUE(_xlfn.TEXTBEFORE(B390," "))),_xlfn.XLOOKUP(VALUE(_xlfn.TEXTBEFORE(B390," ")),Legend!$B$11:$B$26,Legend!$A$11:$A$26,"NOT FOUND",0,1),_xlfn.TEXTBEFORE(B390," ")))</f>
        <v/>
      </c>
      <c r="D390" s="3" t="str">
        <f t="shared" si="6"/>
        <v/>
      </c>
      <c r="E390" s="159" t="str">
        <f>IF(C390="","",_xlfn.XLOOKUP(C390,Legend!$A$10:$A$26,Legend!$C$10:$C$26,"NOT FOUND",0,1))</f>
        <v/>
      </c>
      <c r="F390" s="160" t="str">
        <f>IF(C390="","",_xlfn.XLOOKUP(D390,Legend!$A$29:$A$118,Legend!$B$29:$B$118,"NOT FOUND",0,1))</f>
        <v/>
      </c>
      <c r="G390" s="268" t="str">
        <f>IF(C390="","",_xlfn.XLOOKUP(D390,Legend!$A$29:$A$118,Legend!$C$29:$C$118,"NOT FOUND",0,1))</f>
        <v/>
      </c>
    </row>
    <row r="391" spans="1:7" x14ac:dyDescent="0.2">
      <c r="A391" s="3">
        <v>1</v>
      </c>
      <c r="C391" s="3" t="str">
        <f>IF(B391="","",IF(ISNUMBER(VALUE(_xlfn.TEXTBEFORE(B391," "))),_xlfn.XLOOKUP(VALUE(_xlfn.TEXTBEFORE(B391," ")),Legend!$B$11:$B$26,Legend!$A$11:$A$26,"NOT FOUND",0,1),_xlfn.TEXTBEFORE(B391," ")))</f>
        <v/>
      </c>
      <c r="D391" s="3" t="str">
        <f t="shared" si="6"/>
        <v/>
      </c>
      <c r="E391" s="159" t="str">
        <f>IF(C391="","",_xlfn.XLOOKUP(C391,Legend!$A$10:$A$26,Legend!$C$10:$C$26,"NOT FOUND",0,1))</f>
        <v/>
      </c>
      <c r="F391" s="160" t="str">
        <f>IF(C391="","",_xlfn.XLOOKUP(D391,Legend!$A$29:$A$118,Legend!$B$29:$B$118,"NOT FOUND",0,1))</f>
        <v/>
      </c>
      <c r="G391" s="268" t="str">
        <f>IF(C391="","",_xlfn.XLOOKUP(D391,Legend!$A$29:$A$118,Legend!$C$29:$C$118,"NOT FOUND",0,1))</f>
        <v/>
      </c>
    </row>
    <row r="392" spans="1:7" x14ac:dyDescent="0.2">
      <c r="A392" s="3">
        <v>1</v>
      </c>
      <c r="C392" s="3" t="str">
        <f>IF(B392="","",IF(ISNUMBER(VALUE(_xlfn.TEXTBEFORE(B392," "))),_xlfn.XLOOKUP(VALUE(_xlfn.TEXTBEFORE(B392," ")),Legend!$B$11:$B$26,Legend!$A$11:$A$26,"NOT FOUND",0,1),_xlfn.TEXTBEFORE(B392," ")))</f>
        <v/>
      </c>
      <c r="D392" s="3" t="str">
        <f t="shared" si="6"/>
        <v/>
      </c>
      <c r="E392" s="159" t="str">
        <f>IF(C392="","",_xlfn.XLOOKUP(C392,Legend!$A$10:$A$26,Legend!$C$10:$C$26,"NOT FOUND",0,1))</f>
        <v/>
      </c>
      <c r="F392" s="160" t="str">
        <f>IF(C392="","",_xlfn.XLOOKUP(D392,Legend!$A$29:$A$118,Legend!$B$29:$B$118,"NOT FOUND",0,1))</f>
        <v/>
      </c>
      <c r="G392" s="268" t="str">
        <f>IF(C392="","",_xlfn.XLOOKUP(D392,Legend!$A$29:$A$118,Legend!$C$29:$C$118,"NOT FOUND",0,1))</f>
        <v/>
      </c>
    </row>
    <row r="393" spans="1:7" x14ac:dyDescent="0.2">
      <c r="A393" s="3">
        <v>1</v>
      </c>
      <c r="C393" s="3" t="str">
        <f>IF(B393="","",IF(ISNUMBER(VALUE(_xlfn.TEXTBEFORE(B393," "))),_xlfn.XLOOKUP(VALUE(_xlfn.TEXTBEFORE(B393," ")),Legend!$B$11:$B$26,Legend!$A$11:$A$26,"NOT FOUND",0,1),_xlfn.TEXTBEFORE(B393," ")))</f>
        <v/>
      </c>
      <c r="D393" s="3" t="str">
        <f t="shared" si="6"/>
        <v/>
      </c>
      <c r="E393" s="159" t="str">
        <f>IF(C393="","",_xlfn.XLOOKUP(C393,Legend!$A$10:$A$26,Legend!$C$10:$C$26,"NOT FOUND",0,1))</f>
        <v/>
      </c>
      <c r="F393" s="160" t="str">
        <f>IF(C393="","",_xlfn.XLOOKUP(D393,Legend!$A$29:$A$118,Legend!$B$29:$B$118,"NOT FOUND",0,1))</f>
        <v/>
      </c>
      <c r="G393" s="268" t="str">
        <f>IF(C393="","",_xlfn.XLOOKUP(D393,Legend!$A$29:$A$118,Legend!$C$29:$C$118,"NOT FOUND",0,1))</f>
        <v/>
      </c>
    </row>
    <row r="394" spans="1:7" x14ac:dyDescent="0.2">
      <c r="A394" s="3">
        <v>1</v>
      </c>
      <c r="C394" s="3" t="str">
        <f>IF(B394="","",IF(ISNUMBER(VALUE(_xlfn.TEXTBEFORE(B394," "))),_xlfn.XLOOKUP(VALUE(_xlfn.TEXTBEFORE(B394," ")),Legend!$B$11:$B$26,Legend!$A$11:$A$26,"NOT FOUND",0,1),_xlfn.TEXTBEFORE(B394," ")))</f>
        <v/>
      </c>
      <c r="D394" s="3" t="str">
        <f t="shared" si="6"/>
        <v/>
      </c>
      <c r="E394" s="159" t="str">
        <f>IF(C394="","",_xlfn.XLOOKUP(C394,Legend!$A$10:$A$26,Legend!$C$10:$C$26,"NOT FOUND",0,1))</f>
        <v/>
      </c>
      <c r="F394" s="160" t="str">
        <f>IF(C394="","",_xlfn.XLOOKUP(D394,Legend!$A$29:$A$118,Legend!$B$29:$B$118,"NOT FOUND",0,1))</f>
        <v/>
      </c>
      <c r="G394" s="268" t="str">
        <f>IF(C394="","",_xlfn.XLOOKUP(D394,Legend!$A$29:$A$118,Legend!$C$29:$C$118,"NOT FOUND",0,1))</f>
        <v/>
      </c>
    </row>
    <row r="395" spans="1:7" x14ac:dyDescent="0.2">
      <c r="A395" s="3">
        <v>1</v>
      </c>
      <c r="C395" s="3" t="str">
        <f>IF(B395="","",IF(ISNUMBER(VALUE(_xlfn.TEXTBEFORE(B395," "))),_xlfn.XLOOKUP(VALUE(_xlfn.TEXTBEFORE(B395," ")),Legend!$B$11:$B$26,Legend!$A$11:$A$26,"NOT FOUND",0,1),_xlfn.TEXTBEFORE(B395," ")))</f>
        <v/>
      </c>
      <c r="D395" s="3" t="str">
        <f t="shared" si="6"/>
        <v/>
      </c>
      <c r="E395" s="159" t="str">
        <f>IF(C395="","",_xlfn.XLOOKUP(C395,Legend!$A$10:$A$26,Legend!$C$10:$C$26,"NOT FOUND",0,1))</f>
        <v/>
      </c>
      <c r="F395" s="160" t="str">
        <f>IF(C395="","",_xlfn.XLOOKUP(D395,Legend!$A$29:$A$118,Legend!$B$29:$B$118,"NOT FOUND",0,1))</f>
        <v/>
      </c>
      <c r="G395" s="268" t="str">
        <f>IF(C395="","",_xlfn.XLOOKUP(D395,Legend!$A$29:$A$118,Legend!$C$29:$C$118,"NOT FOUND",0,1))</f>
        <v/>
      </c>
    </row>
    <row r="396" spans="1:7" x14ac:dyDescent="0.2">
      <c r="A396" s="3">
        <v>1</v>
      </c>
      <c r="C396" s="3" t="str">
        <f>IF(B396="","",IF(ISNUMBER(VALUE(_xlfn.TEXTBEFORE(B396," "))),_xlfn.XLOOKUP(VALUE(_xlfn.TEXTBEFORE(B396," ")),Legend!$B$11:$B$26,Legend!$A$11:$A$26,"NOT FOUND",0,1),_xlfn.TEXTBEFORE(B396," ")))</f>
        <v/>
      </c>
      <c r="D396" s="3" t="str">
        <f t="shared" si="6"/>
        <v/>
      </c>
      <c r="E396" s="159" t="str">
        <f>IF(C396="","",_xlfn.XLOOKUP(C396,Legend!$A$10:$A$26,Legend!$C$10:$C$26,"NOT FOUND",0,1))</f>
        <v/>
      </c>
      <c r="F396" s="160" t="str">
        <f>IF(C396="","",_xlfn.XLOOKUP(D396,Legend!$A$29:$A$118,Legend!$B$29:$B$118,"NOT FOUND",0,1))</f>
        <v/>
      </c>
      <c r="G396" s="268" t="str">
        <f>IF(C396="","",_xlfn.XLOOKUP(D396,Legend!$A$29:$A$118,Legend!$C$29:$C$118,"NOT FOUND",0,1))</f>
        <v/>
      </c>
    </row>
    <row r="397" spans="1:7" x14ac:dyDescent="0.2">
      <c r="A397" s="3">
        <v>1</v>
      </c>
      <c r="C397" s="3" t="str">
        <f>IF(B397="","",IF(ISNUMBER(VALUE(_xlfn.TEXTBEFORE(B397," "))),_xlfn.XLOOKUP(VALUE(_xlfn.TEXTBEFORE(B397," ")),Legend!$B$11:$B$26,Legend!$A$11:$A$26,"NOT FOUND",0,1),_xlfn.TEXTBEFORE(B397," ")))</f>
        <v/>
      </c>
      <c r="D397" s="3" t="str">
        <f t="shared" si="6"/>
        <v/>
      </c>
      <c r="E397" s="159" t="str">
        <f>IF(C397="","",_xlfn.XLOOKUP(C397,Legend!$A$10:$A$26,Legend!$C$10:$C$26,"NOT FOUND",0,1))</f>
        <v/>
      </c>
      <c r="F397" s="160" t="str">
        <f>IF(C397="","",_xlfn.XLOOKUP(D397,Legend!$A$29:$A$118,Legend!$B$29:$B$118,"NOT FOUND",0,1))</f>
        <v/>
      </c>
      <c r="G397" s="268" t="str">
        <f>IF(C397="","",_xlfn.XLOOKUP(D397,Legend!$A$29:$A$118,Legend!$C$29:$C$118,"NOT FOUND",0,1))</f>
        <v/>
      </c>
    </row>
    <row r="398" spans="1:7" x14ac:dyDescent="0.2">
      <c r="A398" s="3">
        <v>1</v>
      </c>
      <c r="C398" s="3" t="str">
        <f>IF(B398="","",IF(ISNUMBER(VALUE(_xlfn.TEXTBEFORE(B398," "))),_xlfn.XLOOKUP(VALUE(_xlfn.TEXTBEFORE(B398," ")),Legend!$B$11:$B$26,Legend!$A$11:$A$26,"NOT FOUND",0,1),_xlfn.TEXTBEFORE(B398," ")))</f>
        <v/>
      </c>
      <c r="D398" s="3" t="str">
        <f t="shared" si="6"/>
        <v/>
      </c>
      <c r="E398" s="159" t="str">
        <f>IF(C398="","",_xlfn.XLOOKUP(C398,Legend!$A$10:$A$26,Legend!$C$10:$C$26,"NOT FOUND",0,1))</f>
        <v/>
      </c>
      <c r="F398" s="160" t="str">
        <f>IF(C398="","",_xlfn.XLOOKUP(D398,Legend!$A$29:$A$118,Legend!$B$29:$B$118,"NOT FOUND",0,1))</f>
        <v/>
      </c>
      <c r="G398" s="268" t="str">
        <f>IF(C398="","",_xlfn.XLOOKUP(D398,Legend!$A$29:$A$118,Legend!$C$29:$C$118,"NOT FOUND",0,1))</f>
        <v/>
      </c>
    </row>
    <row r="399" spans="1:7" x14ac:dyDescent="0.2">
      <c r="A399" s="3">
        <v>1</v>
      </c>
      <c r="C399" s="3" t="str">
        <f>IF(B399="","",IF(ISNUMBER(VALUE(_xlfn.TEXTBEFORE(B399," "))),_xlfn.XLOOKUP(VALUE(_xlfn.TEXTBEFORE(B399," ")),Legend!$B$11:$B$26,Legend!$A$11:$A$26,"NOT FOUND",0,1),_xlfn.TEXTBEFORE(B399," ")))</f>
        <v/>
      </c>
      <c r="D399" s="3" t="str">
        <f t="shared" si="6"/>
        <v/>
      </c>
      <c r="E399" s="159" t="str">
        <f>IF(C399="","",_xlfn.XLOOKUP(C399,Legend!$A$10:$A$26,Legend!$C$10:$C$26,"NOT FOUND",0,1))</f>
        <v/>
      </c>
      <c r="F399" s="160" t="str">
        <f>IF(C399="","",_xlfn.XLOOKUP(D399,Legend!$A$29:$A$118,Legend!$B$29:$B$118,"NOT FOUND",0,1))</f>
        <v/>
      </c>
      <c r="G399" s="268" t="str">
        <f>IF(C399="","",_xlfn.XLOOKUP(D399,Legend!$A$29:$A$118,Legend!$C$29:$C$118,"NOT FOUND",0,1))</f>
        <v/>
      </c>
    </row>
    <row r="400" spans="1:7" x14ac:dyDescent="0.2">
      <c r="A400" s="3">
        <v>1</v>
      </c>
      <c r="C400" s="3" t="str">
        <f>IF(B400="","",IF(ISNUMBER(VALUE(_xlfn.TEXTBEFORE(B400," "))),_xlfn.XLOOKUP(VALUE(_xlfn.TEXTBEFORE(B400," ")),Legend!$B$11:$B$26,Legend!$A$11:$A$26,"NOT FOUND",0,1),_xlfn.TEXTBEFORE(B400," ")))</f>
        <v/>
      </c>
      <c r="D400" s="3" t="str">
        <f t="shared" si="6"/>
        <v/>
      </c>
      <c r="E400" s="159" t="str">
        <f>IF(C400="","",_xlfn.XLOOKUP(C400,Legend!$A$10:$A$26,Legend!$C$10:$C$26,"NOT FOUND",0,1))</f>
        <v/>
      </c>
      <c r="F400" s="160" t="str">
        <f>IF(C400="","",_xlfn.XLOOKUP(D400,Legend!$A$29:$A$118,Legend!$B$29:$B$118,"NOT FOUND",0,1))</f>
        <v/>
      </c>
      <c r="G400" s="268" t="str">
        <f>IF(C400="","",_xlfn.XLOOKUP(D400,Legend!$A$29:$A$118,Legend!$C$29:$C$118,"NOT FOUND",0,1))</f>
        <v/>
      </c>
    </row>
    <row r="401" spans="1:7" x14ac:dyDescent="0.2">
      <c r="A401" s="3">
        <v>1</v>
      </c>
      <c r="C401" s="3" t="str">
        <f>IF(B401="","",IF(ISNUMBER(VALUE(_xlfn.TEXTBEFORE(B401," "))),_xlfn.XLOOKUP(VALUE(_xlfn.TEXTBEFORE(B401," ")),Legend!$B$11:$B$26,Legend!$A$11:$A$26,"NOT FOUND",0,1),_xlfn.TEXTBEFORE(B401," ")))</f>
        <v/>
      </c>
      <c r="D401" s="3" t="str">
        <f t="shared" si="6"/>
        <v/>
      </c>
      <c r="E401" s="159" t="str">
        <f>IF(C401="","",_xlfn.XLOOKUP(C401,Legend!$A$10:$A$26,Legend!$C$10:$C$26,"NOT FOUND",0,1))</f>
        <v/>
      </c>
      <c r="F401" s="160" t="str">
        <f>IF(C401="","",_xlfn.XLOOKUP(D401,Legend!$A$29:$A$118,Legend!$B$29:$B$118,"NOT FOUND",0,1))</f>
        <v/>
      </c>
      <c r="G401" s="268" t="str">
        <f>IF(C401="","",_xlfn.XLOOKUP(D401,Legend!$A$29:$A$118,Legend!$C$29:$C$118,"NOT FOUND",0,1))</f>
        <v/>
      </c>
    </row>
    <row r="402" spans="1:7" x14ac:dyDescent="0.2">
      <c r="A402" s="3">
        <v>1</v>
      </c>
      <c r="C402" s="3" t="str">
        <f>IF(B402="","",IF(ISNUMBER(VALUE(_xlfn.TEXTBEFORE(B402," "))),_xlfn.XLOOKUP(VALUE(_xlfn.TEXTBEFORE(B402," ")),Legend!$B$11:$B$26,Legend!$A$11:$A$26,"NOT FOUND",0,1),_xlfn.TEXTBEFORE(B402," ")))</f>
        <v/>
      </c>
      <c r="D402" s="3" t="str">
        <f t="shared" si="6"/>
        <v/>
      </c>
      <c r="E402" s="159" t="str">
        <f>IF(C402="","",_xlfn.XLOOKUP(C402,Legend!$A$10:$A$26,Legend!$C$10:$C$26,"NOT FOUND",0,1))</f>
        <v/>
      </c>
      <c r="F402" s="160" t="str">
        <f>IF(C402="","",_xlfn.XLOOKUP(D402,Legend!$A$29:$A$118,Legend!$B$29:$B$118,"NOT FOUND",0,1))</f>
        <v/>
      </c>
      <c r="G402" s="268" t="str">
        <f>IF(C402="","",_xlfn.XLOOKUP(D402,Legend!$A$29:$A$118,Legend!$C$29:$C$118,"NOT FOUND",0,1))</f>
        <v/>
      </c>
    </row>
    <row r="403" spans="1:7" x14ac:dyDescent="0.2">
      <c r="A403" s="3">
        <v>1</v>
      </c>
      <c r="C403" s="3" t="str">
        <f>IF(B403="","",IF(ISNUMBER(VALUE(_xlfn.TEXTBEFORE(B403," "))),_xlfn.XLOOKUP(VALUE(_xlfn.TEXTBEFORE(B403," ")),Legend!$B$11:$B$26,Legend!$A$11:$A$26,"NOT FOUND",0,1),_xlfn.TEXTBEFORE(B403," ")))</f>
        <v/>
      </c>
      <c r="D403" s="3" t="str">
        <f t="shared" si="6"/>
        <v/>
      </c>
      <c r="E403" s="159" t="str">
        <f>IF(C403="","",_xlfn.XLOOKUP(C403,Legend!$A$10:$A$26,Legend!$C$10:$C$26,"NOT FOUND",0,1))</f>
        <v/>
      </c>
      <c r="F403" s="160" t="str">
        <f>IF(C403="","",_xlfn.XLOOKUP(D403,Legend!$A$29:$A$118,Legend!$B$29:$B$118,"NOT FOUND",0,1))</f>
        <v/>
      </c>
      <c r="G403" s="268" t="str">
        <f>IF(C403="","",_xlfn.XLOOKUP(D403,Legend!$A$29:$A$118,Legend!$C$29:$C$118,"NOT FOUND",0,1))</f>
        <v/>
      </c>
    </row>
    <row r="404" spans="1:7" x14ac:dyDescent="0.2">
      <c r="A404" s="3">
        <v>1</v>
      </c>
      <c r="C404" s="3" t="str">
        <f>IF(B404="","",IF(ISNUMBER(VALUE(_xlfn.TEXTBEFORE(B404," "))),_xlfn.XLOOKUP(VALUE(_xlfn.TEXTBEFORE(B404," ")),Legend!$B$11:$B$26,Legend!$A$11:$A$26,"NOT FOUND",0,1),_xlfn.TEXTBEFORE(B404," ")))</f>
        <v/>
      </c>
      <c r="D404" s="3" t="str">
        <f t="shared" si="6"/>
        <v/>
      </c>
      <c r="E404" s="159" t="str">
        <f>IF(C404="","",_xlfn.XLOOKUP(C404,Legend!$A$10:$A$26,Legend!$C$10:$C$26,"NOT FOUND",0,1))</f>
        <v/>
      </c>
      <c r="F404" s="160" t="str">
        <f>IF(C404="","",_xlfn.XLOOKUP(D404,Legend!$A$29:$A$118,Legend!$B$29:$B$118,"NOT FOUND",0,1))</f>
        <v/>
      </c>
      <c r="G404" s="268" t="str">
        <f>IF(C404="","",_xlfn.XLOOKUP(D404,Legend!$A$29:$A$118,Legend!$C$29:$C$118,"NOT FOUND",0,1))</f>
        <v/>
      </c>
    </row>
    <row r="405" spans="1:7" x14ac:dyDescent="0.2">
      <c r="A405" s="3">
        <v>1</v>
      </c>
      <c r="C405" s="3" t="str">
        <f>IF(B405="","",IF(ISNUMBER(VALUE(_xlfn.TEXTBEFORE(B405," "))),_xlfn.XLOOKUP(VALUE(_xlfn.TEXTBEFORE(B405," ")),Legend!$B$11:$B$26,Legend!$A$11:$A$26,"NOT FOUND",0,1),_xlfn.TEXTBEFORE(B405," ")))</f>
        <v/>
      </c>
      <c r="D405" s="3" t="str">
        <f t="shared" si="6"/>
        <v/>
      </c>
      <c r="E405" s="159" t="str">
        <f>IF(C405="","",_xlfn.XLOOKUP(C405,Legend!$A$10:$A$26,Legend!$C$10:$C$26,"NOT FOUND",0,1))</f>
        <v/>
      </c>
      <c r="F405" s="160" t="str">
        <f>IF(C405="","",_xlfn.XLOOKUP(D405,Legend!$A$29:$A$118,Legend!$B$29:$B$118,"NOT FOUND",0,1))</f>
        <v/>
      </c>
      <c r="G405" s="268" t="str">
        <f>IF(C405="","",_xlfn.XLOOKUP(D405,Legend!$A$29:$A$118,Legend!$C$29:$C$118,"NOT FOUND",0,1))</f>
        <v/>
      </c>
    </row>
    <row r="406" spans="1:7" x14ac:dyDescent="0.2">
      <c r="A406" s="3">
        <v>1</v>
      </c>
      <c r="C406" s="3" t="str">
        <f>IF(B406="","",IF(ISNUMBER(VALUE(_xlfn.TEXTBEFORE(B406," "))),_xlfn.XLOOKUP(VALUE(_xlfn.TEXTBEFORE(B406," ")),Legend!$B$11:$B$26,Legend!$A$11:$A$26,"NOT FOUND",0,1),_xlfn.TEXTBEFORE(B406," ")))</f>
        <v/>
      </c>
      <c r="D406" s="3" t="str">
        <f t="shared" si="6"/>
        <v/>
      </c>
      <c r="E406" s="159" t="str">
        <f>IF(C406="","",_xlfn.XLOOKUP(C406,Legend!$A$10:$A$26,Legend!$C$10:$C$26,"NOT FOUND",0,1))</f>
        <v/>
      </c>
      <c r="F406" s="160" t="str">
        <f>IF(C406="","",_xlfn.XLOOKUP(D406,Legend!$A$29:$A$118,Legend!$B$29:$B$118,"NOT FOUND",0,1))</f>
        <v/>
      </c>
      <c r="G406" s="268" t="str">
        <f>IF(C406="","",_xlfn.XLOOKUP(D406,Legend!$A$29:$A$118,Legend!$C$29:$C$118,"NOT FOUND",0,1))</f>
        <v/>
      </c>
    </row>
    <row r="407" spans="1:7" x14ac:dyDescent="0.2">
      <c r="A407" s="3">
        <v>1</v>
      </c>
      <c r="C407" s="3" t="str">
        <f>IF(B407="","",IF(ISNUMBER(VALUE(_xlfn.TEXTBEFORE(B407," "))),_xlfn.XLOOKUP(VALUE(_xlfn.TEXTBEFORE(B407," ")),Legend!$B$11:$B$26,Legend!$A$11:$A$26,"NOT FOUND",0,1),_xlfn.TEXTBEFORE(B407," ")))</f>
        <v/>
      </c>
      <c r="D407" s="3" t="str">
        <f t="shared" si="6"/>
        <v/>
      </c>
      <c r="E407" s="159" t="str">
        <f>IF(C407="","",_xlfn.XLOOKUP(C407,Legend!$A$10:$A$26,Legend!$C$10:$C$26,"NOT FOUND",0,1))</f>
        <v/>
      </c>
      <c r="F407" s="160" t="str">
        <f>IF(C407="","",_xlfn.XLOOKUP(D407,Legend!$A$29:$A$118,Legend!$B$29:$B$118,"NOT FOUND",0,1))</f>
        <v/>
      </c>
      <c r="G407" s="268" t="str">
        <f>IF(C407="","",_xlfn.XLOOKUP(D407,Legend!$A$29:$A$118,Legend!$C$29:$C$118,"NOT FOUND",0,1))</f>
        <v/>
      </c>
    </row>
    <row r="408" spans="1:7" x14ac:dyDescent="0.2">
      <c r="A408" s="3">
        <v>1</v>
      </c>
      <c r="C408" s="3" t="str">
        <f>IF(B408="","",IF(ISNUMBER(VALUE(_xlfn.TEXTBEFORE(B408," "))),_xlfn.XLOOKUP(VALUE(_xlfn.TEXTBEFORE(B408," ")),Legend!$B$11:$B$26,Legend!$A$11:$A$26,"NOT FOUND",0,1),_xlfn.TEXTBEFORE(B408," ")))</f>
        <v/>
      </c>
      <c r="D408" s="3" t="str">
        <f t="shared" si="6"/>
        <v/>
      </c>
      <c r="E408" s="159" t="str">
        <f>IF(C408="","",_xlfn.XLOOKUP(C408,Legend!$A$10:$A$26,Legend!$C$10:$C$26,"NOT FOUND",0,1))</f>
        <v/>
      </c>
      <c r="F408" s="160" t="str">
        <f>IF(C408="","",_xlfn.XLOOKUP(D408,Legend!$A$29:$A$118,Legend!$B$29:$B$118,"NOT FOUND",0,1))</f>
        <v/>
      </c>
      <c r="G408" s="268" t="str">
        <f>IF(C408="","",_xlfn.XLOOKUP(D408,Legend!$A$29:$A$118,Legend!$C$29:$C$118,"NOT FOUND",0,1))</f>
        <v/>
      </c>
    </row>
    <row r="409" spans="1:7" x14ac:dyDescent="0.2">
      <c r="A409" s="3">
        <v>1</v>
      </c>
      <c r="C409" s="3" t="str">
        <f>IF(B409="","",IF(ISNUMBER(VALUE(_xlfn.TEXTBEFORE(B409," "))),_xlfn.XLOOKUP(VALUE(_xlfn.TEXTBEFORE(B409," ")),Legend!$B$11:$B$26,Legend!$A$11:$A$26,"NOT FOUND",0,1),_xlfn.TEXTBEFORE(B409," ")))</f>
        <v/>
      </c>
      <c r="D409" s="3" t="str">
        <f t="shared" si="6"/>
        <v/>
      </c>
      <c r="E409" s="159" t="str">
        <f>IF(C409="","",_xlfn.XLOOKUP(C409,Legend!$A$10:$A$26,Legend!$C$10:$C$26,"NOT FOUND",0,1))</f>
        <v/>
      </c>
      <c r="F409" s="160" t="str">
        <f>IF(C409="","",_xlfn.XLOOKUP(D409,Legend!$A$29:$A$118,Legend!$B$29:$B$118,"NOT FOUND",0,1))</f>
        <v/>
      </c>
      <c r="G409" s="268" t="str">
        <f>IF(C409="","",_xlfn.XLOOKUP(D409,Legend!$A$29:$A$118,Legend!$C$29:$C$118,"NOT FOUND",0,1))</f>
        <v/>
      </c>
    </row>
    <row r="410" spans="1:7" x14ac:dyDescent="0.2">
      <c r="A410" s="3">
        <v>1</v>
      </c>
      <c r="C410" s="3" t="str">
        <f>IF(B410="","",IF(ISNUMBER(VALUE(_xlfn.TEXTBEFORE(B410," "))),_xlfn.XLOOKUP(VALUE(_xlfn.TEXTBEFORE(B410," ")),Legend!$B$11:$B$26,Legend!$A$11:$A$26,"NOT FOUND",0,1),_xlfn.TEXTBEFORE(B410," ")))</f>
        <v/>
      </c>
      <c r="D410" s="3" t="str">
        <f t="shared" si="6"/>
        <v/>
      </c>
      <c r="E410" s="159" t="str">
        <f>IF(C410="","",_xlfn.XLOOKUP(C410,Legend!$A$10:$A$26,Legend!$C$10:$C$26,"NOT FOUND",0,1))</f>
        <v/>
      </c>
      <c r="F410" s="160" t="str">
        <f>IF(C410="","",_xlfn.XLOOKUP(D410,Legend!$A$29:$A$118,Legend!$B$29:$B$118,"NOT FOUND",0,1))</f>
        <v/>
      </c>
      <c r="G410" s="268" t="str">
        <f>IF(C410="","",_xlfn.XLOOKUP(D410,Legend!$A$29:$A$118,Legend!$C$29:$C$118,"NOT FOUND",0,1))</f>
        <v/>
      </c>
    </row>
    <row r="411" spans="1:7" x14ac:dyDescent="0.2">
      <c r="A411" s="3">
        <v>1</v>
      </c>
      <c r="C411" s="3" t="str">
        <f>IF(B411="","",IF(ISNUMBER(VALUE(_xlfn.TEXTBEFORE(B411," "))),_xlfn.XLOOKUP(VALUE(_xlfn.TEXTBEFORE(B411," ")),Legend!$B$11:$B$26,Legend!$A$11:$A$26,"NOT FOUND",0,1),_xlfn.TEXTBEFORE(B411," ")))</f>
        <v/>
      </c>
      <c r="D411" s="3" t="str">
        <f t="shared" si="6"/>
        <v/>
      </c>
      <c r="E411" s="159" t="str">
        <f>IF(C411="","",_xlfn.XLOOKUP(C411,Legend!$A$10:$A$26,Legend!$C$10:$C$26,"NOT FOUND",0,1))</f>
        <v/>
      </c>
      <c r="F411" s="160" t="str">
        <f>IF(C411="","",_xlfn.XLOOKUP(D411,Legend!$A$29:$A$118,Legend!$B$29:$B$118,"NOT FOUND",0,1))</f>
        <v/>
      </c>
      <c r="G411" s="268" t="str">
        <f>IF(C411="","",_xlfn.XLOOKUP(D411,Legend!$A$29:$A$118,Legend!$C$29:$C$118,"NOT FOUND",0,1))</f>
        <v/>
      </c>
    </row>
    <row r="412" spans="1:7" x14ac:dyDescent="0.2">
      <c r="A412" s="3">
        <v>1</v>
      </c>
      <c r="C412" s="3" t="str">
        <f>IF(B412="","",IF(ISNUMBER(VALUE(_xlfn.TEXTBEFORE(B412," "))),_xlfn.XLOOKUP(VALUE(_xlfn.TEXTBEFORE(B412," ")),Legend!$B$11:$B$26,Legend!$A$11:$A$26,"NOT FOUND",0,1),_xlfn.TEXTBEFORE(B412," ")))</f>
        <v/>
      </c>
      <c r="D412" s="3" t="str">
        <f t="shared" si="6"/>
        <v/>
      </c>
      <c r="E412" s="159" t="str">
        <f>IF(C412="","",_xlfn.XLOOKUP(C412,Legend!$A$10:$A$26,Legend!$C$10:$C$26,"NOT FOUND",0,1))</f>
        <v/>
      </c>
      <c r="F412" s="160" t="str">
        <f>IF(C412="","",_xlfn.XLOOKUP(D412,Legend!$A$29:$A$118,Legend!$B$29:$B$118,"NOT FOUND",0,1))</f>
        <v/>
      </c>
      <c r="G412" s="268" t="str">
        <f>IF(C412="","",_xlfn.XLOOKUP(D412,Legend!$A$29:$A$118,Legend!$C$29:$C$118,"NOT FOUND",0,1))</f>
        <v/>
      </c>
    </row>
    <row r="413" spans="1:7" x14ac:dyDescent="0.2">
      <c r="A413" s="3">
        <v>1</v>
      </c>
      <c r="C413" s="3" t="str">
        <f>IF(B413="","",IF(ISNUMBER(VALUE(_xlfn.TEXTBEFORE(B413," "))),_xlfn.XLOOKUP(VALUE(_xlfn.TEXTBEFORE(B413," ")),Legend!$B$11:$B$26,Legend!$A$11:$A$26,"NOT FOUND",0,1),_xlfn.TEXTBEFORE(B413," ")))</f>
        <v/>
      </c>
      <c r="D413" s="3" t="str">
        <f t="shared" si="6"/>
        <v/>
      </c>
      <c r="E413" s="159" t="str">
        <f>IF(C413="","",_xlfn.XLOOKUP(C413,Legend!$A$10:$A$26,Legend!$C$10:$C$26,"NOT FOUND",0,1))</f>
        <v/>
      </c>
      <c r="F413" s="160" t="str">
        <f>IF(C413="","",_xlfn.XLOOKUP(D413,Legend!$A$29:$A$118,Legend!$B$29:$B$118,"NOT FOUND",0,1))</f>
        <v/>
      </c>
      <c r="G413" s="268" t="str">
        <f>IF(C413="","",_xlfn.XLOOKUP(D413,Legend!$A$29:$A$118,Legend!$C$29:$C$118,"NOT FOUND",0,1))</f>
        <v/>
      </c>
    </row>
    <row r="414" spans="1:7" x14ac:dyDescent="0.2">
      <c r="A414" s="3">
        <v>1</v>
      </c>
      <c r="C414" s="3" t="str">
        <f>IF(B414="","",IF(ISNUMBER(VALUE(_xlfn.TEXTBEFORE(B414," "))),_xlfn.XLOOKUP(VALUE(_xlfn.TEXTBEFORE(B414," ")),Legend!$B$11:$B$26,Legend!$A$11:$A$26,"NOT FOUND",0,1),_xlfn.TEXTBEFORE(B414," ")))</f>
        <v/>
      </c>
      <c r="D414" s="3" t="str">
        <f t="shared" si="6"/>
        <v/>
      </c>
      <c r="E414" s="159" t="str">
        <f>IF(C414="","",_xlfn.XLOOKUP(C414,Legend!$A$10:$A$26,Legend!$C$10:$C$26,"NOT FOUND",0,1))</f>
        <v/>
      </c>
      <c r="F414" s="160" t="str">
        <f>IF(C414="","",_xlfn.XLOOKUP(D414,Legend!$A$29:$A$118,Legend!$B$29:$B$118,"NOT FOUND",0,1))</f>
        <v/>
      </c>
      <c r="G414" s="268" t="str">
        <f>IF(C414="","",_xlfn.XLOOKUP(D414,Legend!$A$29:$A$118,Legend!$C$29:$C$118,"NOT FOUND",0,1))</f>
        <v/>
      </c>
    </row>
    <row r="415" spans="1:7" x14ac:dyDescent="0.2">
      <c r="A415" s="3">
        <v>1</v>
      </c>
      <c r="C415" s="3" t="str">
        <f>IF(B415="","",IF(ISNUMBER(VALUE(_xlfn.TEXTBEFORE(B415," "))),_xlfn.XLOOKUP(VALUE(_xlfn.TEXTBEFORE(B415," ")),Legend!$B$11:$B$26,Legend!$A$11:$A$26,"NOT FOUND",0,1),_xlfn.TEXTBEFORE(B415," ")))</f>
        <v/>
      </c>
      <c r="D415" s="3" t="str">
        <f t="shared" si="6"/>
        <v/>
      </c>
      <c r="E415" s="159" t="str">
        <f>IF(C415="","",_xlfn.XLOOKUP(C415,Legend!$A$10:$A$26,Legend!$C$10:$C$26,"NOT FOUND",0,1))</f>
        <v/>
      </c>
      <c r="F415" s="160" t="str">
        <f>IF(C415="","",_xlfn.XLOOKUP(D415,Legend!$A$29:$A$118,Legend!$B$29:$B$118,"NOT FOUND",0,1))</f>
        <v/>
      </c>
      <c r="G415" s="268" t="str">
        <f>IF(C415="","",_xlfn.XLOOKUP(D415,Legend!$A$29:$A$118,Legend!$C$29:$C$118,"NOT FOUND",0,1))</f>
        <v/>
      </c>
    </row>
    <row r="416" spans="1:7" x14ac:dyDescent="0.2">
      <c r="A416" s="3">
        <v>1</v>
      </c>
      <c r="C416" s="3" t="str">
        <f>IF(B416="","",IF(ISNUMBER(VALUE(_xlfn.TEXTBEFORE(B416," "))),_xlfn.XLOOKUP(VALUE(_xlfn.TEXTBEFORE(B416," ")),Legend!$B$11:$B$26,Legend!$A$11:$A$26,"NOT FOUND",0,1),_xlfn.TEXTBEFORE(B416," ")))</f>
        <v/>
      </c>
      <c r="D416" s="3" t="str">
        <f t="shared" si="6"/>
        <v/>
      </c>
      <c r="E416" s="159" t="str">
        <f>IF(C416="","",_xlfn.XLOOKUP(C416,Legend!$A$10:$A$26,Legend!$C$10:$C$26,"NOT FOUND",0,1))</f>
        <v/>
      </c>
      <c r="F416" s="160" t="str">
        <f>IF(C416="","",_xlfn.XLOOKUP(D416,Legend!$A$29:$A$118,Legend!$B$29:$B$118,"NOT FOUND",0,1))</f>
        <v/>
      </c>
      <c r="G416" s="268" t="str">
        <f>IF(C416="","",_xlfn.XLOOKUP(D416,Legend!$A$29:$A$118,Legend!$C$29:$C$118,"NOT FOUND",0,1))</f>
        <v/>
      </c>
    </row>
    <row r="417" spans="1:7" x14ac:dyDescent="0.2">
      <c r="A417" s="3">
        <v>1</v>
      </c>
      <c r="C417" s="3" t="str">
        <f>IF(B417="","",IF(ISNUMBER(VALUE(_xlfn.TEXTBEFORE(B417," "))),_xlfn.XLOOKUP(VALUE(_xlfn.TEXTBEFORE(B417," ")),Legend!$B$11:$B$26,Legend!$A$11:$A$26,"NOT FOUND",0,1),_xlfn.TEXTBEFORE(B417," ")))</f>
        <v/>
      </c>
      <c r="D417" s="3" t="str">
        <f t="shared" si="6"/>
        <v/>
      </c>
      <c r="E417" s="159" t="str">
        <f>IF(C417="","",_xlfn.XLOOKUP(C417,Legend!$A$10:$A$26,Legend!$C$10:$C$26,"NOT FOUND",0,1))</f>
        <v/>
      </c>
      <c r="F417" s="160" t="str">
        <f>IF(C417="","",_xlfn.XLOOKUP(D417,Legend!$A$29:$A$118,Legend!$B$29:$B$118,"NOT FOUND",0,1))</f>
        <v/>
      </c>
      <c r="G417" s="268" t="str">
        <f>IF(C417="","",_xlfn.XLOOKUP(D417,Legend!$A$29:$A$118,Legend!$C$29:$C$118,"NOT FOUND",0,1))</f>
        <v/>
      </c>
    </row>
    <row r="418" spans="1:7" x14ac:dyDescent="0.2">
      <c r="A418" s="3">
        <v>1</v>
      </c>
      <c r="C418" s="3" t="str">
        <f>IF(B418="","",IF(ISNUMBER(VALUE(_xlfn.TEXTBEFORE(B418," "))),_xlfn.XLOOKUP(VALUE(_xlfn.TEXTBEFORE(B418," ")),Legend!$B$11:$B$26,Legend!$A$11:$A$26,"NOT FOUND",0,1),_xlfn.TEXTBEFORE(B418," ")))</f>
        <v/>
      </c>
      <c r="D418" s="3" t="str">
        <f t="shared" si="6"/>
        <v/>
      </c>
      <c r="E418" s="159" t="str">
        <f>IF(C418="","",_xlfn.XLOOKUP(C418,Legend!$A$10:$A$26,Legend!$C$10:$C$26,"NOT FOUND",0,1))</f>
        <v/>
      </c>
      <c r="F418" s="160" t="str">
        <f>IF(C418="","",_xlfn.XLOOKUP(D418,Legend!$A$29:$A$118,Legend!$B$29:$B$118,"NOT FOUND",0,1))</f>
        <v/>
      </c>
      <c r="G418" s="268" t="str">
        <f>IF(C418="","",_xlfn.XLOOKUP(D418,Legend!$A$29:$A$118,Legend!$C$29:$C$118,"NOT FOUND",0,1))</f>
        <v/>
      </c>
    </row>
    <row r="419" spans="1:7" x14ac:dyDescent="0.2">
      <c r="A419" s="3">
        <v>1</v>
      </c>
      <c r="C419" s="3" t="str">
        <f>IF(B419="","",IF(ISNUMBER(VALUE(_xlfn.TEXTBEFORE(B419," "))),_xlfn.XLOOKUP(VALUE(_xlfn.TEXTBEFORE(B419," ")),Legend!$B$11:$B$26,Legend!$A$11:$A$26,"NOT FOUND",0,1),_xlfn.TEXTBEFORE(B419," ")))</f>
        <v/>
      </c>
      <c r="D419" s="3" t="str">
        <f t="shared" si="6"/>
        <v/>
      </c>
      <c r="E419" s="159" t="str">
        <f>IF(C419="","",_xlfn.XLOOKUP(C419,Legend!$A$10:$A$26,Legend!$C$10:$C$26,"NOT FOUND",0,1))</f>
        <v/>
      </c>
      <c r="F419" s="160" t="str">
        <f>IF(C419="","",_xlfn.XLOOKUP(D419,Legend!$A$29:$A$118,Legend!$B$29:$B$118,"NOT FOUND",0,1))</f>
        <v/>
      </c>
      <c r="G419" s="268" t="str">
        <f>IF(C419="","",_xlfn.XLOOKUP(D419,Legend!$A$29:$A$118,Legend!$C$29:$C$118,"NOT FOUND",0,1))</f>
        <v/>
      </c>
    </row>
    <row r="420" spans="1:7" x14ac:dyDescent="0.2">
      <c r="A420" s="3">
        <v>1</v>
      </c>
      <c r="C420" s="3" t="str">
        <f>IF(B420="","",IF(ISNUMBER(VALUE(_xlfn.TEXTBEFORE(B420," "))),_xlfn.XLOOKUP(VALUE(_xlfn.TEXTBEFORE(B420," ")),Legend!$B$11:$B$26,Legend!$A$11:$A$26,"NOT FOUND",0,1),_xlfn.TEXTBEFORE(B420," ")))</f>
        <v/>
      </c>
      <c r="D420" s="3" t="str">
        <f t="shared" si="6"/>
        <v/>
      </c>
      <c r="E420" s="159" t="str">
        <f>IF(C420="","",_xlfn.XLOOKUP(C420,Legend!$A$10:$A$26,Legend!$C$10:$C$26,"NOT FOUND",0,1))</f>
        <v/>
      </c>
      <c r="F420" s="160" t="str">
        <f>IF(C420="","",_xlfn.XLOOKUP(D420,Legend!$A$29:$A$118,Legend!$B$29:$B$118,"NOT FOUND",0,1))</f>
        <v/>
      </c>
      <c r="G420" s="268" t="str">
        <f>IF(C420="","",_xlfn.XLOOKUP(D420,Legend!$A$29:$A$118,Legend!$C$29:$C$118,"NOT FOUND",0,1))</f>
        <v/>
      </c>
    </row>
    <row r="421" spans="1:7" x14ac:dyDescent="0.2">
      <c r="A421" s="3">
        <v>1</v>
      </c>
      <c r="C421" s="3" t="str">
        <f>IF(B421="","",IF(ISNUMBER(VALUE(_xlfn.TEXTBEFORE(B421," "))),_xlfn.XLOOKUP(VALUE(_xlfn.TEXTBEFORE(B421," ")),Legend!$B$11:$B$26,Legend!$A$11:$A$26,"NOT FOUND",0,1),_xlfn.TEXTBEFORE(B421," ")))</f>
        <v/>
      </c>
      <c r="D421" s="3" t="str">
        <f t="shared" si="6"/>
        <v/>
      </c>
      <c r="E421" s="159" t="str">
        <f>IF(C421="","",_xlfn.XLOOKUP(C421,Legend!$A$10:$A$26,Legend!$C$10:$C$26,"NOT FOUND",0,1))</f>
        <v/>
      </c>
      <c r="F421" s="160" t="str">
        <f>IF(C421="","",_xlfn.XLOOKUP(D421,Legend!$A$29:$A$118,Legend!$B$29:$B$118,"NOT FOUND",0,1))</f>
        <v/>
      </c>
      <c r="G421" s="268" t="str">
        <f>IF(C421="","",_xlfn.XLOOKUP(D421,Legend!$A$29:$A$118,Legend!$C$29:$C$118,"NOT FOUND",0,1))</f>
        <v/>
      </c>
    </row>
    <row r="422" spans="1:7" x14ac:dyDescent="0.2">
      <c r="A422" s="3">
        <v>1</v>
      </c>
      <c r="C422" s="3" t="str">
        <f>IF(B422="","",IF(ISNUMBER(VALUE(_xlfn.TEXTBEFORE(B422," "))),_xlfn.XLOOKUP(VALUE(_xlfn.TEXTBEFORE(B422," ")),Legend!$B$11:$B$26,Legend!$A$11:$A$26,"NOT FOUND",0,1),_xlfn.TEXTBEFORE(B422," ")))</f>
        <v/>
      </c>
      <c r="D422" s="3" t="str">
        <f t="shared" si="6"/>
        <v/>
      </c>
      <c r="E422" s="159" t="str">
        <f>IF(C422="","",_xlfn.XLOOKUP(C422,Legend!$A$10:$A$26,Legend!$C$10:$C$26,"NOT FOUND",0,1))</f>
        <v/>
      </c>
      <c r="F422" s="160" t="str">
        <f>IF(C422="","",_xlfn.XLOOKUP(D422,Legend!$A$29:$A$118,Legend!$B$29:$B$118,"NOT FOUND",0,1))</f>
        <v/>
      </c>
      <c r="G422" s="268" t="str">
        <f>IF(C422="","",_xlfn.XLOOKUP(D422,Legend!$A$29:$A$118,Legend!$C$29:$C$118,"NOT FOUND",0,1))</f>
        <v/>
      </c>
    </row>
    <row r="423" spans="1:7" x14ac:dyDescent="0.2">
      <c r="A423" s="3">
        <v>1</v>
      </c>
      <c r="C423" s="3" t="str">
        <f>IF(B423="","",IF(ISNUMBER(VALUE(_xlfn.TEXTBEFORE(B423," "))),_xlfn.XLOOKUP(VALUE(_xlfn.TEXTBEFORE(B423," ")),Legend!$B$11:$B$26,Legend!$A$11:$A$26,"NOT FOUND",0,1),_xlfn.TEXTBEFORE(B423," ")))</f>
        <v/>
      </c>
      <c r="D423" s="3" t="str">
        <f t="shared" si="6"/>
        <v/>
      </c>
      <c r="E423" s="159" t="str">
        <f>IF(C423="","",_xlfn.XLOOKUP(C423,Legend!$A$10:$A$26,Legend!$C$10:$C$26,"NOT FOUND",0,1))</f>
        <v/>
      </c>
      <c r="F423" s="160" t="str">
        <f>IF(C423="","",_xlfn.XLOOKUP(D423,Legend!$A$29:$A$118,Legend!$B$29:$B$118,"NOT FOUND",0,1))</f>
        <v/>
      </c>
      <c r="G423" s="268" t="str">
        <f>IF(C423="","",_xlfn.XLOOKUP(D423,Legend!$A$29:$A$118,Legend!$C$29:$C$118,"NOT FOUND",0,1))</f>
        <v/>
      </c>
    </row>
    <row r="424" spans="1:7" x14ac:dyDescent="0.2">
      <c r="A424" s="3">
        <v>1</v>
      </c>
      <c r="C424" s="3" t="str">
        <f>IF(B424="","",IF(ISNUMBER(VALUE(_xlfn.TEXTBEFORE(B424," "))),_xlfn.XLOOKUP(VALUE(_xlfn.TEXTBEFORE(B424," ")),Legend!$B$11:$B$26,Legend!$A$11:$A$26,"NOT FOUND",0,1),_xlfn.TEXTBEFORE(B424," ")))</f>
        <v/>
      </c>
      <c r="D424" s="3" t="str">
        <f t="shared" si="6"/>
        <v/>
      </c>
      <c r="E424" s="159" t="str">
        <f>IF(C424="","",_xlfn.XLOOKUP(C424,Legend!$A$10:$A$26,Legend!$C$10:$C$26,"NOT FOUND",0,1))</f>
        <v/>
      </c>
      <c r="F424" s="160" t="str">
        <f>IF(C424="","",_xlfn.XLOOKUP(D424,Legend!$A$29:$A$118,Legend!$B$29:$B$118,"NOT FOUND",0,1))</f>
        <v/>
      </c>
      <c r="G424" s="268" t="str">
        <f>IF(C424="","",_xlfn.XLOOKUP(D424,Legend!$A$29:$A$118,Legend!$C$29:$C$118,"NOT FOUND",0,1))</f>
        <v/>
      </c>
    </row>
    <row r="425" spans="1:7" x14ac:dyDescent="0.2">
      <c r="A425" s="3">
        <v>1</v>
      </c>
      <c r="C425" s="3" t="str">
        <f>IF(B425="","",IF(ISNUMBER(VALUE(_xlfn.TEXTBEFORE(B425," "))),_xlfn.XLOOKUP(VALUE(_xlfn.TEXTBEFORE(B425," ")),Legend!$B$11:$B$26,Legend!$A$11:$A$26,"NOT FOUND",0,1),_xlfn.TEXTBEFORE(B425," ")))</f>
        <v/>
      </c>
      <c r="D425" s="3" t="str">
        <f t="shared" si="6"/>
        <v/>
      </c>
      <c r="E425" s="159" t="str">
        <f>IF(C425="","",_xlfn.XLOOKUP(C425,Legend!$A$10:$A$26,Legend!$C$10:$C$26,"NOT FOUND",0,1))</f>
        <v/>
      </c>
      <c r="F425" s="160" t="str">
        <f>IF(C425="","",_xlfn.XLOOKUP(D425,Legend!$A$29:$A$118,Legend!$B$29:$B$118,"NOT FOUND",0,1))</f>
        <v/>
      </c>
      <c r="G425" s="268" t="str">
        <f>IF(C425="","",_xlfn.XLOOKUP(D425,Legend!$A$29:$A$118,Legend!$C$29:$C$118,"NOT FOUND",0,1))</f>
        <v/>
      </c>
    </row>
    <row r="426" spans="1:7" x14ac:dyDescent="0.2">
      <c r="A426" s="3">
        <v>1</v>
      </c>
      <c r="C426" s="3" t="str">
        <f>IF(B426="","",IF(ISNUMBER(VALUE(_xlfn.TEXTBEFORE(B426," "))),_xlfn.XLOOKUP(VALUE(_xlfn.TEXTBEFORE(B426," ")),Legend!$B$11:$B$26,Legend!$A$11:$A$26,"NOT FOUND",0,1),_xlfn.TEXTBEFORE(B426," ")))</f>
        <v/>
      </c>
      <c r="D426" s="3" t="str">
        <f t="shared" si="6"/>
        <v/>
      </c>
      <c r="E426" s="159" t="str">
        <f>IF(C426="","",_xlfn.XLOOKUP(C426,Legend!$A$10:$A$26,Legend!$C$10:$C$26,"NOT FOUND",0,1))</f>
        <v/>
      </c>
      <c r="F426" s="160" t="str">
        <f>IF(C426="","",_xlfn.XLOOKUP(D426,Legend!$A$29:$A$118,Legend!$B$29:$B$118,"NOT FOUND",0,1))</f>
        <v/>
      </c>
      <c r="G426" s="268" t="str">
        <f>IF(C426="","",_xlfn.XLOOKUP(D426,Legend!$A$29:$A$118,Legend!$C$29:$C$118,"NOT FOUND",0,1))</f>
        <v/>
      </c>
    </row>
    <row r="427" spans="1:7" x14ac:dyDescent="0.2">
      <c r="A427" s="3">
        <v>1</v>
      </c>
      <c r="C427" s="3" t="str">
        <f>IF(B427="","",IF(ISNUMBER(VALUE(_xlfn.TEXTBEFORE(B427," "))),_xlfn.XLOOKUP(VALUE(_xlfn.TEXTBEFORE(B427," ")),Legend!$B$11:$B$26,Legend!$A$11:$A$26,"NOT FOUND",0,1),_xlfn.TEXTBEFORE(B427," ")))</f>
        <v/>
      </c>
      <c r="D427" s="3" t="str">
        <f t="shared" si="6"/>
        <v/>
      </c>
      <c r="E427" s="159" t="str">
        <f>IF(C427="","",_xlfn.XLOOKUP(C427,Legend!$A$10:$A$26,Legend!$C$10:$C$26,"NOT FOUND",0,1))</f>
        <v/>
      </c>
      <c r="F427" s="160" t="str">
        <f>IF(C427="","",_xlfn.XLOOKUP(D427,Legend!$A$29:$A$118,Legend!$B$29:$B$118,"NOT FOUND",0,1))</f>
        <v/>
      </c>
      <c r="G427" s="268" t="str">
        <f>IF(C427="","",_xlfn.XLOOKUP(D427,Legend!$A$29:$A$118,Legend!$C$29:$C$118,"NOT FOUND",0,1))</f>
        <v/>
      </c>
    </row>
    <row r="428" spans="1:7" x14ac:dyDescent="0.2">
      <c r="A428" s="3">
        <v>1</v>
      </c>
      <c r="C428" s="3" t="str">
        <f>IF(B428="","",IF(ISNUMBER(VALUE(_xlfn.TEXTBEFORE(B428," "))),_xlfn.XLOOKUP(VALUE(_xlfn.TEXTBEFORE(B428," ")),Legend!$B$11:$B$26,Legend!$A$11:$A$26,"NOT FOUND",0,1),_xlfn.TEXTBEFORE(B428," ")))</f>
        <v/>
      </c>
      <c r="D428" s="3" t="str">
        <f t="shared" si="6"/>
        <v/>
      </c>
      <c r="E428" s="159" t="str">
        <f>IF(C428="","",_xlfn.XLOOKUP(C428,Legend!$A$10:$A$26,Legend!$C$10:$C$26,"NOT FOUND",0,1))</f>
        <v/>
      </c>
      <c r="F428" s="160" t="str">
        <f>IF(C428="","",_xlfn.XLOOKUP(D428,Legend!$A$29:$A$118,Legend!$B$29:$B$118,"NOT FOUND",0,1))</f>
        <v/>
      </c>
      <c r="G428" s="268" t="str">
        <f>IF(C428="","",_xlfn.XLOOKUP(D428,Legend!$A$29:$A$118,Legend!$C$29:$C$118,"NOT FOUND",0,1))</f>
        <v/>
      </c>
    </row>
    <row r="429" spans="1:7" x14ac:dyDescent="0.2">
      <c r="A429" s="3">
        <v>1</v>
      </c>
      <c r="C429" s="3" t="str">
        <f>IF(B429="","",IF(ISNUMBER(VALUE(_xlfn.TEXTBEFORE(B429," "))),_xlfn.XLOOKUP(VALUE(_xlfn.TEXTBEFORE(B429," ")),Legend!$B$11:$B$26,Legend!$A$11:$A$26,"NOT FOUND",0,1),_xlfn.TEXTBEFORE(B429," ")))</f>
        <v/>
      </c>
      <c r="D429" s="3" t="str">
        <f t="shared" si="6"/>
        <v/>
      </c>
      <c r="E429" s="159" t="str">
        <f>IF(C429="","",_xlfn.XLOOKUP(C429,Legend!$A$10:$A$26,Legend!$C$10:$C$26,"NOT FOUND",0,1))</f>
        <v/>
      </c>
      <c r="F429" s="160" t="str">
        <f>IF(C429="","",_xlfn.XLOOKUP(D429,Legend!$A$29:$A$118,Legend!$B$29:$B$118,"NOT FOUND",0,1))</f>
        <v/>
      </c>
      <c r="G429" s="268" t="str">
        <f>IF(C429="","",_xlfn.XLOOKUP(D429,Legend!$A$29:$A$118,Legend!$C$29:$C$118,"NOT FOUND",0,1))</f>
        <v/>
      </c>
    </row>
    <row r="430" spans="1:7" x14ac:dyDescent="0.2">
      <c r="A430" s="3">
        <v>1</v>
      </c>
      <c r="C430" s="3" t="str">
        <f>IF(B430="","",IF(ISNUMBER(VALUE(_xlfn.TEXTBEFORE(B430," "))),_xlfn.XLOOKUP(VALUE(_xlfn.TEXTBEFORE(B430," ")),Legend!$B$11:$B$26,Legend!$A$11:$A$26,"NOT FOUND",0,1),_xlfn.TEXTBEFORE(B430," ")))</f>
        <v/>
      </c>
      <c r="D430" s="3" t="str">
        <f t="shared" si="6"/>
        <v/>
      </c>
      <c r="E430" s="159" t="str">
        <f>IF(C430="","",_xlfn.XLOOKUP(C430,Legend!$A$10:$A$26,Legend!$C$10:$C$26,"NOT FOUND",0,1))</f>
        <v/>
      </c>
      <c r="F430" s="160" t="str">
        <f>IF(C430="","",_xlfn.XLOOKUP(D430,Legend!$A$29:$A$118,Legend!$B$29:$B$118,"NOT FOUND",0,1))</f>
        <v/>
      </c>
      <c r="G430" s="268" t="str">
        <f>IF(C430="","",_xlfn.XLOOKUP(D430,Legend!$A$29:$A$118,Legend!$C$29:$C$118,"NOT FOUND",0,1))</f>
        <v/>
      </c>
    </row>
    <row r="431" spans="1:7" x14ac:dyDescent="0.2">
      <c r="A431" s="3">
        <v>1</v>
      </c>
      <c r="C431" s="3" t="str">
        <f>IF(B431="","",IF(ISNUMBER(VALUE(_xlfn.TEXTBEFORE(B431," "))),_xlfn.XLOOKUP(VALUE(_xlfn.TEXTBEFORE(B431," ")),Legend!$B$11:$B$26,Legend!$A$11:$A$26,"NOT FOUND",0,1),_xlfn.TEXTBEFORE(B431," ")))</f>
        <v/>
      </c>
      <c r="D431" s="3" t="str">
        <f t="shared" si="6"/>
        <v/>
      </c>
      <c r="E431" s="159" t="str">
        <f>IF(C431="","",_xlfn.XLOOKUP(C431,Legend!$A$10:$A$26,Legend!$C$10:$C$26,"NOT FOUND",0,1))</f>
        <v/>
      </c>
      <c r="F431" s="160" t="str">
        <f>IF(C431="","",_xlfn.XLOOKUP(D431,Legend!$A$29:$A$118,Legend!$B$29:$B$118,"NOT FOUND",0,1))</f>
        <v/>
      </c>
      <c r="G431" s="268" t="str">
        <f>IF(C431="","",_xlfn.XLOOKUP(D431,Legend!$A$29:$A$118,Legend!$C$29:$C$118,"NOT FOUND",0,1))</f>
        <v/>
      </c>
    </row>
    <row r="432" spans="1:7" x14ac:dyDescent="0.2">
      <c r="A432" s="3">
        <v>1</v>
      </c>
      <c r="C432" s="3" t="str">
        <f>IF(B432="","",IF(ISNUMBER(VALUE(_xlfn.TEXTBEFORE(B432," "))),_xlfn.XLOOKUP(VALUE(_xlfn.TEXTBEFORE(B432," ")),Legend!$B$11:$B$26,Legend!$A$11:$A$26,"NOT FOUND",0,1),_xlfn.TEXTBEFORE(B432," ")))</f>
        <v/>
      </c>
      <c r="D432" s="3" t="str">
        <f t="shared" si="6"/>
        <v/>
      </c>
      <c r="E432" s="159" t="str">
        <f>IF(C432="","",_xlfn.XLOOKUP(C432,Legend!$A$10:$A$26,Legend!$C$10:$C$26,"NOT FOUND",0,1))</f>
        <v/>
      </c>
      <c r="F432" s="160" t="str">
        <f>IF(C432="","",_xlfn.XLOOKUP(D432,Legend!$A$29:$A$118,Legend!$B$29:$B$118,"NOT FOUND",0,1))</f>
        <v/>
      </c>
      <c r="G432" s="268" t="str">
        <f>IF(C432="","",_xlfn.XLOOKUP(D432,Legend!$A$29:$A$118,Legend!$C$29:$C$118,"NOT FOUND",0,1))</f>
        <v/>
      </c>
    </row>
    <row r="433" spans="1:7" x14ac:dyDescent="0.2">
      <c r="A433" s="3">
        <v>1</v>
      </c>
      <c r="C433" s="3" t="str">
        <f>IF(B433="","",IF(ISNUMBER(VALUE(_xlfn.TEXTBEFORE(B433," "))),_xlfn.XLOOKUP(VALUE(_xlfn.TEXTBEFORE(B433," ")),Legend!$B$11:$B$26,Legend!$A$11:$A$26,"NOT FOUND",0,1),_xlfn.TEXTBEFORE(B433," ")))</f>
        <v/>
      </c>
      <c r="D433" s="3" t="str">
        <f t="shared" si="6"/>
        <v/>
      </c>
      <c r="E433" s="159" t="str">
        <f>IF(C433="","",_xlfn.XLOOKUP(C433,Legend!$A$10:$A$26,Legend!$C$10:$C$26,"NOT FOUND",0,1))</f>
        <v/>
      </c>
      <c r="F433" s="160" t="str">
        <f>IF(C433="","",_xlfn.XLOOKUP(D433,Legend!$A$29:$A$118,Legend!$B$29:$B$118,"NOT FOUND",0,1))</f>
        <v/>
      </c>
      <c r="G433" s="268" t="str">
        <f>IF(C433="","",_xlfn.XLOOKUP(D433,Legend!$A$29:$A$118,Legend!$C$29:$C$118,"NOT FOUND",0,1))</f>
        <v/>
      </c>
    </row>
    <row r="434" spans="1:7" x14ac:dyDescent="0.2">
      <c r="A434" s="3">
        <v>1</v>
      </c>
      <c r="C434" s="3" t="str">
        <f>IF(B434="","",IF(ISNUMBER(VALUE(_xlfn.TEXTBEFORE(B434," "))),_xlfn.XLOOKUP(VALUE(_xlfn.TEXTBEFORE(B434," ")),Legend!$B$11:$B$26,Legend!$A$11:$A$26,"NOT FOUND",0,1),_xlfn.TEXTBEFORE(B434," ")))</f>
        <v/>
      </c>
      <c r="D434" s="3" t="str">
        <f t="shared" si="6"/>
        <v/>
      </c>
      <c r="E434" s="159" t="str">
        <f>IF(C434="","",_xlfn.XLOOKUP(C434,Legend!$A$10:$A$26,Legend!$C$10:$C$26,"NOT FOUND",0,1))</f>
        <v/>
      </c>
      <c r="F434" s="160" t="str">
        <f>IF(C434="","",_xlfn.XLOOKUP(D434,Legend!$A$29:$A$118,Legend!$B$29:$B$118,"NOT FOUND",0,1))</f>
        <v/>
      </c>
      <c r="G434" s="268" t="str">
        <f>IF(C434="","",_xlfn.XLOOKUP(D434,Legend!$A$29:$A$118,Legend!$C$29:$C$118,"NOT FOUND",0,1))</f>
        <v/>
      </c>
    </row>
    <row r="435" spans="1:7" x14ac:dyDescent="0.2">
      <c r="A435" s="3">
        <v>1</v>
      </c>
      <c r="C435" s="3" t="str">
        <f>IF(B435="","",IF(ISNUMBER(VALUE(_xlfn.TEXTBEFORE(B435," "))),_xlfn.XLOOKUP(VALUE(_xlfn.TEXTBEFORE(B435," ")),Legend!$B$11:$B$26,Legend!$A$11:$A$26,"NOT FOUND",0,1),_xlfn.TEXTBEFORE(B435," ")))</f>
        <v/>
      </c>
      <c r="D435" s="3" t="str">
        <f t="shared" si="6"/>
        <v/>
      </c>
      <c r="E435" s="159" t="str">
        <f>IF(C435="","",_xlfn.XLOOKUP(C435,Legend!$A$10:$A$26,Legend!$C$10:$C$26,"NOT FOUND",0,1))</f>
        <v/>
      </c>
      <c r="F435" s="160" t="str">
        <f>IF(C435="","",_xlfn.XLOOKUP(D435,Legend!$A$29:$A$118,Legend!$B$29:$B$118,"NOT FOUND",0,1))</f>
        <v/>
      </c>
      <c r="G435" s="268" t="str">
        <f>IF(C435="","",_xlfn.XLOOKUP(D435,Legend!$A$29:$A$118,Legend!$C$29:$C$118,"NOT FOUND",0,1))</f>
        <v/>
      </c>
    </row>
    <row r="436" spans="1:7" x14ac:dyDescent="0.2">
      <c r="A436" s="3">
        <v>1</v>
      </c>
      <c r="C436" s="3" t="str">
        <f>IF(B436="","",IF(ISNUMBER(VALUE(_xlfn.TEXTBEFORE(B436," "))),_xlfn.XLOOKUP(VALUE(_xlfn.TEXTBEFORE(B436," ")),Legend!$B$11:$B$26,Legend!$A$11:$A$26,"NOT FOUND",0,1),_xlfn.TEXTBEFORE(B436," ")))</f>
        <v/>
      </c>
      <c r="D436" s="3" t="str">
        <f t="shared" si="6"/>
        <v/>
      </c>
      <c r="E436" s="159" t="str">
        <f>IF(C436="","",_xlfn.XLOOKUP(C436,Legend!$A$10:$A$26,Legend!$C$10:$C$26,"NOT FOUND",0,1))</f>
        <v/>
      </c>
      <c r="F436" s="160" t="str">
        <f>IF(C436="","",_xlfn.XLOOKUP(D436,Legend!$A$29:$A$118,Legend!$B$29:$B$118,"NOT FOUND",0,1))</f>
        <v/>
      </c>
      <c r="G436" s="268" t="str">
        <f>IF(C436="","",_xlfn.XLOOKUP(D436,Legend!$A$29:$A$118,Legend!$C$29:$C$118,"NOT FOUND",0,1))</f>
        <v/>
      </c>
    </row>
    <row r="437" spans="1:7" x14ac:dyDescent="0.2">
      <c r="A437" s="3">
        <v>1</v>
      </c>
      <c r="C437" s="3" t="str">
        <f>IF(B437="","",IF(ISNUMBER(VALUE(_xlfn.TEXTBEFORE(B437," "))),_xlfn.XLOOKUP(VALUE(_xlfn.TEXTBEFORE(B437," ")),Legend!$B$11:$B$26,Legend!$A$11:$A$26,"NOT FOUND",0,1),_xlfn.TEXTBEFORE(B437," ")))</f>
        <v/>
      </c>
      <c r="D437" s="3" t="str">
        <f t="shared" si="6"/>
        <v/>
      </c>
      <c r="E437" s="159" t="str">
        <f>IF(C437="","",_xlfn.XLOOKUP(C437,Legend!$A$10:$A$26,Legend!$C$10:$C$26,"NOT FOUND",0,1))</f>
        <v/>
      </c>
      <c r="F437" s="160" t="str">
        <f>IF(C437="","",_xlfn.XLOOKUP(D437,Legend!$A$29:$A$118,Legend!$B$29:$B$118,"NOT FOUND",0,1))</f>
        <v/>
      </c>
      <c r="G437" s="268" t="str">
        <f>IF(C437="","",_xlfn.XLOOKUP(D437,Legend!$A$29:$A$118,Legend!$C$29:$C$118,"NOT FOUND",0,1))</f>
        <v/>
      </c>
    </row>
    <row r="438" spans="1:7" x14ac:dyDescent="0.2">
      <c r="A438" s="3">
        <v>1</v>
      </c>
      <c r="C438" s="3" t="str">
        <f>IF(B438="","",IF(ISNUMBER(VALUE(_xlfn.TEXTBEFORE(B438," "))),_xlfn.XLOOKUP(VALUE(_xlfn.TEXTBEFORE(B438," ")),Legend!$B$11:$B$26,Legend!$A$11:$A$26,"NOT FOUND",0,1),_xlfn.TEXTBEFORE(B438," ")))</f>
        <v/>
      </c>
      <c r="D438" s="3" t="str">
        <f t="shared" si="6"/>
        <v/>
      </c>
      <c r="E438" s="159" t="str">
        <f>IF(C438="","",_xlfn.XLOOKUP(C438,Legend!$A$10:$A$26,Legend!$C$10:$C$26,"NOT FOUND",0,1))</f>
        <v/>
      </c>
      <c r="F438" s="160" t="str">
        <f>IF(C438="","",_xlfn.XLOOKUP(D438,Legend!$A$29:$A$118,Legend!$B$29:$B$118,"NOT FOUND",0,1))</f>
        <v/>
      </c>
      <c r="G438" s="268" t="str">
        <f>IF(C438="","",_xlfn.XLOOKUP(D438,Legend!$A$29:$A$118,Legend!$C$29:$C$118,"NOT FOUND",0,1))</f>
        <v/>
      </c>
    </row>
    <row r="439" spans="1:7" x14ac:dyDescent="0.2">
      <c r="A439" s="3">
        <v>1</v>
      </c>
      <c r="C439" s="3" t="str">
        <f>IF(B439="","",IF(ISNUMBER(VALUE(_xlfn.TEXTBEFORE(B439," "))),_xlfn.XLOOKUP(VALUE(_xlfn.TEXTBEFORE(B439," ")),Legend!$B$11:$B$26,Legend!$A$11:$A$26,"NOT FOUND",0,1),_xlfn.TEXTBEFORE(B439," ")))</f>
        <v/>
      </c>
      <c r="D439" s="3" t="str">
        <f t="shared" si="6"/>
        <v/>
      </c>
      <c r="E439" s="159" t="str">
        <f>IF(C439="","",_xlfn.XLOOKUP(C439,Legend!$A$10:$A$26,Legend!$C$10:$C$26,"NOT FOUND",0,1))</f>
        <v/>
      </c>
      <c r="F439" s="160" t="str">
        <f>IF(C439="","",_xlfn.XLOOKUP(D439,Legend!$A$29:$A$118,Legend!$B$29:$B$118,"NOT FOUND",0,1))</f>
        <v/>
      </c>
      <c r="G439" s="268" t="str">
        <f>IF(C439="","",_xlfn.XLOOKUP(D439,Legend!$A$29:$A$118,Legend!$C$29:$C$118,"NOT FOUND",0,1))</f>
        <v/>
      </c>
    </row>
    <row r="440" spans="1:7" x14ac:dyDescent="0.2">
      <c r="A440" s="3">
        <v>1</v>
      </c>
      <c r="C440" s="3" t="str">
        <f>IF(B440="","",IF(ISNUMBER(VALUE(_xlfn.TEXTBEFORE(B440," "))),_xlfn.XLOOKUP(VALUE(_xlfn.TEXTBEFORE(B440," ")),Legend!$B$11:$B$26,Legend!$A$11:$A$26,"NOT FOUND",0,1),_xlfn.TEXTBEFORE(B440," ")))</f>
        <v/>
      </c>
      <c r="D440" s="3" t="str">
        <f t="shared" si="6"/>
        <v/>
      </c>
      <c r="E440" s="159" t="str">
        <f>IF(C440="","",_xlfn.XLOOKUP(C440,Legend!$A$10:$A$26,Legend!$C$10:$C$26,"NOT FOUND",0,1))</f>
        <v/>
      </c>
      <c r="F440" s="160" t="str">
        <f>IF(C440="","",_xlfn.XLOOKUP(D440,Legend!$A$29:$A$118,Legend!$B$29:$B$118,"NOT FOUND",0,1))</f>
        <v/>
      </c>
      <c r="G440" s="268" t="str">
        <f>IF(C440="","",_xlfn.XLOOKUP(D440,Legend!$A$29:$A$118,Legend!$C$29:$C$118,"NOT FOUND",0,1))</f>
        <v/>
      </c>
    </row>
    <row r="441" spans="1:7" x14ac:dyDescent="0.2">
      <c r="A441" s="3">
        <v>1</v>
      </c>
      <c r="C441" s="3" t="str">
        <f>IF(B441="","",IF(ISNUMBER(VALUE(_xlfn.TEXTBEFORE(B441," "))),_xlfn.XLOOKUP(VALUE(_xlfn.TEXTBEFORE(B441," ")),Legend!$B$11:$B$26,Legend!$A$11:$A$26,"NOT FOUND",0,1),_xlfn.TEXTBEFORE(B441," ")))</f>
        <v/>
      </c>
      <c r="D441" s="3" t="str">
        <f t="shared" si="6"/>
        <v/>
      </c>
      <c r="E441" s="159" t="str">
        <f>IF(C441="","",_xlfn.XLOOKUP(C441,Legend!$A$10:$A$26,Legend!$C$10:$C$26,"NOT FOUND",0,1))</f>
        <v/>
      </c>
      <c r="F441" s="160" t="str">
        <f>IF(C441="","",_xlfn.XLOOKUP(D441,Legend!$A$29:$A$118,Legend!$B$29:$B$118,"NOT FOUND",0,1))</f>
        <v/>
      </c>
      <c r="G441" s="268" t="str">
        <f>IF(C441="","",_xlfn.XLOOKUP(D441,Legend!$A$29:$A$118,Legend!$C$29:$C$118,"NOT FOUND",0,1))</f>
        <v/>
      </c>
    </row>
    <row r="442" spans="1:7" x14ac:dyDescent="0.2">
      <c r="A442" s="3">
        <v>1</v>
      </c>
      <c r="C442" s="3" t="str">
        <f>IF(B442="","",IF(ISNUMBER(VALUE(_xlfn.TEXTBEFORE(B442," "))),_xlfn.XLOOKUP(VALUE(_xlfn.TEXTBEFORE(B442," ")),Legend!$B$11:$B$26,Legend!$A$11:$A$26,"NOT FOUND",0,1),_xlfn.TEXTBEFORE(B442," ")))</f>
        <v/>
      </c>
      <c r="D442" s="3" t="str">
        <f t="shared" si="6"/>
        <v/>
      </c>
      <c r="E442" s="159" t="str">
        <f>IF(C442="","",_xlfn.XLOOKUP(C442,Legend!$A$10:$A$26,Legend!$C$10:$C$26,"NOT FOUND",0,1))</f>
        <v/>
      </c>
      <c r="F442" s="160" t="str">
        <f>IF(C442="","",_xlfn.XLOOKUP(D442,Legend!$A$29:$A$118,Legend!$B$29:$B$118,"NOT FOUND",0,1))</f>
        <v/>
      </c>
      <c r="G442" s="268" t="str">
        <f>IF(C442="","",_xlfn.XLOOKUP(D442,Legend!$A$29:$A$118,Legend!$C$29:$C$118,"NOT FOUND",0,1))</f>
        <v/>
      </c>
    </row>
    <row r="443" spans="1:7" x14ac:dyDescent="0.2">
      <c r="A443" s="3">
        <v>1</v>
      </c>
      <c r="C443" s="3" t="str">
        <f>IF(B443="","",IF(ISNUMBER(VALUE(_xlfn.TEXTBEFORE(B443," "))),_xlfn.XLOOKUP(VALUE(_xlfn.TEXTBEFORE(B443," ")),Legend!$B$11:$B$26,Legend!$A$11:$A$26,"NOT FOUND",0,1),_xlfn.TEXTBEFORE(B443," ")))</f>
        <v/>
      </c>
      <c r="D443" s="3" t="str">
        <f t="shared" ref="D443:D506" si="7">IF(B443="","",_xlfn.TEXTAFTER(B443," "))</f>
        <v/>
      </c>
      <c r="E443" s="159" t="str">
        <f>IF(C443="","",_xlfn.XLOOKUP(C443,Legend!$A$10:$A$26,Legend!$C$10:$C$26,"NOT FOUND",0,1))</f>
        <v/>
      </c>
      <c r="F443" s="160" t="str">
        <f>IF(C443="","",_xlfn.XLOOKUP(D443,Legend!$A$29:$A$118,Legend!$B$29:$B$118,"NOT FOUND",0,1))</f>
        <v/>
      </c>
      <c r="G443" s="268" t="str">
        <f>IF(C443="","",_xlfn.XLOOKUP(D443,Legend!$A$29:$A$118,Legend!$C$29:$C$118,"NOT FOUND",0,1))</f>
        <v/>
      </c>
    </row>
    <row r="444" spans="1:7" x14ac:dyDescent="0.2">
      <c r="A444" s="3">
        <v>1</v>
      </c>
      <c r="C444" s="3" t="str">
        <f>IF(B444="","",IF(ISNUMBER(VALUE(_xlfn.TEXTBEFORE(B444," "))),_xlfn.XLOOKUP(VALUE(_xlfn.TEXTBEFORE(B444," ")),Legend!$B$11:$B$26,Legend!$A$11:$A$26,"NOT FOUND",0,1),_xlfn.TEXTBEFORE(B444," ")))</f>
        <v/>
      </c>
      <c r="D444" s="3" t="str">
        <f t="shared" si="7"/>
        <v/>
      </c>
      <c r="E444" s="159" t="str">
        <f>IF(C444="","",_xlfn.XLOOKUP(C444,Legend!$A$10:$A$26,Legend!$C$10:$C$26,"NOT FOUND",0,1))</f>
        <v/>
      </c>
      <c r="F444" s="160" t="str">
        <f>IF(C444="","",_xlfn.XLOOKUP(D444,Legend!$A$29:$A$118,Legend!$B$29:$B$118,"NOT FOUND",0,1))</f>
        <v/>
      </c>
      <c r="G444" s="268" t="str">
        <f>IF(C444="","",_xlfn.XLOOKUP(D444,Legend!$A$29:$A$118,Legend!$C$29:$C$118,"NOT FOUND",0,1))</f>
        <v/>
      </c>
    </row>
    <row r="445" spans="1:7" x14ac:dyDescent="0.2">
      <c r="A445" s="3">
        <v>1</v>
      </c>
      <c r="C445" s="3" t="str">
        <f>IF(B445="","",IF(ISNUMBER(VALUE(_xlfn.TEXTBEFORE(B445," "))),_xlfn.XLOOKUP(VALUE(_xlfn.TEXTBEFORE(B445," ")),Legend!$B$11:$B$26,Legend!$A$11:$A$26,"NOT FOUND",0,1),_xlfn.TEXTBEFORE(B445," ")))</f>
        <v/>
      </c>
      <c r="D445" s="3" t="str">
        <f t="shared" si="7"/>
        <v/>
      </c>
      <c r="E445" s="159" t="str">
        <f>IF(C445="","",_xlfn.XLOOKUP(C445,Legend!$A$10:$A$26,Legend!$C$10:$C$26,"NOT FOUND",0,1))</f>
        <v/>
      </c>
      <c r="F445" s="160" t="str">
        <f>IF(C445="","",_xlfn.XLOOKUP(D445,Legend!$A$29:$A$118,Legend!$B$29:$B$118,"NOT FOUND",0,1))</f>
        <v/>
      </c>
      <c r="G445" s="268" t="str">
        <f>IF(C445="","",_xlfn.XLOOKUP(D445,Legend!$A$29:$A$118,Legend!$C$29:$C$118,"NOT FOUND",0,1))</f>
        <v/>
      </c>
    </row>
    <row r="446" spans="1:7" x14ac:dyDescent="0.2">
      <c r="A446" s="3">
        <v>1</v>
      </c>
      <c r="C446" s="3" t="str">
        <f>IF(B446="","",IF(ISNUMBER(VALUE(_xlfn.TEXTBEFORE(B446," "))),_xlfn.XLOOKUP(VALUE(_xlfn.TEXTBEFORE(B446," ")),Legend!$B$11:$B$26,Legend!$A$11:$A$26,"NOT FOUND",0,1),_xlfn.TEXTBEFORE(B446," ")))</f>
        <v/>
      </c>
      <c r="D446" s="3" t="str">
        <f t="shared" si="7"/>
        <v/>
      </c>
      <c r="E446" s="159" t="str">
        <f>IF(C446="","",_xlfn.XLOOKUP(C446,Legend!$A$10:$A$26,Legend!$C$10:$C$26,"NOT FOUND",0,1))</f>
        <v/>
      </c>
      <c r="F446" s="160" t="str">
        <f>IF(C446="","",_xlfn.XLOOKUP(D446,Legend!$A$29:$A$118,Legend!$B$29:$B$118,"NOT FOUND",0,1))</f>
        <v/>
      </c>
      <c r="G446" s="268" t="str">
        <f>IF(C446="","",_xlfn.XLOOKUP(D446,Legend!$A$29:$A$118,Legend!$C$29:$C$118,"NOT FOUND",0,1))</f>
        <v/>
      </c>
    </row>
    <row r="447" spans="1:7" x14ac:dyDescent="0.2">
      <c r="A447" s="3">
        <v>1</v>
      </c>
      <c r="C447" s="3" t="str">
        <f>IF(B447="","",IF(ISNUMBER(VALUE(_xlfn.TEXTBEFORE(B447," "))),_xlfn.XLOOKUP(VALUE(_xlfn.TEXTBEFORE(B447," ")),Legend!$B$11:$B$26,Legend!$A$11:$A$26,"NOT FOUND",0,1),_xlfn.TEXTBEFORE(B447," ")))</f>
        <v/>
      </c>
      <c r="D447" s="3" t="str">
        <f t="shared" si="7"/>
        <v/>
      </c>
      <c r="E447" s="159" t="str">
        <f>IF(C447="","",_xlfn.XLOOKUP(C447,Legend!$A$10:$A$26,Legend!$C$10:$C$26,"NOT FOUND",0,1))</f>
        <v/>
      </c>
      <c r="F447" s="160" t="str">
        <f>IF(C447="","",_xlfn.XLOOKUP(D447,Legend!$A$29:$A$118,Legend!$B$29:$B$118,"NOT FOUND",0,1))</f>
        <v/>
      </c>
      <c r="G447" s="268" t="str">
        <f>IF(C447="","",_xlfn.XLOOKUP(D447,Legend!$A$29:$A$118,Legend!$C$29:$C$118,"NOT FOUND",0,1))</f>
        <v/>
      </c>
    </row>
    <row r="448" spans="1:7" x14ac:dyDescent="0.2">
      <c r="A448" s="3">
        <v>1</v>
      </c>
      <c r="C448" s="3" t="str">
        <f>IF(B448="","",IF(ISNUMBER(VALUE(_xlfn.TEXTBEFORE(B448," "))),_xlfn.XLOOKUP(VALUE(_xlfn.TEXTBEFORE(B448," ")),Legend!$B$11:$B$26,Legend!$A$11:$A$26,"NOT FOUND",0,1),_xlfn.TEXTBEFORE(B448," ")))</f>
        <v/>
      </c>
      <c r="D448" s="3" t="str">
        <f t="shared" si="7"/>
        <v/>
      </c>
      <c r="E448" s="159" t="str">
        <f>IF(C448="","",_xlfn.XLOOKUP(C448,Legend!$A$10:$A$26,Legend!$C$10:$C$26,"NOT FOUND",0,1))</f>
        <v/>
      </c>
      <c r="F448" s="160" t="str">
        <f>IF(C448="","",_xlfn.XLOOKUP(D448,Legend!$A$29:$A$118,Legend!$B$29:$B$118,"NOT FOUND",0,1))</f>
        <v/>
      </c>
      <c r="G448" s="268" t="str">
        <f>IF(C448="","",_xlfn.XLOOKUP(D448,Legend!$A$29:$A$118,Legend!$C$29:$C$118,"NOT FOUND",0,1))</f>
        <v/>
      </c>
    </row>
    <row r="449" spans="1:7" x14ac:dyDescent="0.2">
      <c r="A449" s="3">
        <v>1</v>
      </c>
      <c r="C449" s="3" t="str">
        <f>IF(B449="","",IF(ISNUMBER(VALUE(_xlfn.TEXTBEFORE(B449," "))),_xlfn.XLOOKUP(VALUE(_xlfn.TEXTBEFORE(B449," ")),Legend!$B$11:$B$26,Legend!$A$11:$A$26,"NOT FOUND",0,1),_xlfn.TEXTBEFORE(B449," ")))</f>
        <v/>
      </c>
      <c r="D449" s="3" t="str">
        <f t="shared" si="7"/>
        <v/>
      </c>
      <c r="E449" s="159" t="str">
        <f>IF(C449="","",_xlfn.XLOOKUP(C449,Legend!$A$10:$A$26,Legend!$C$10:$C$26,"NOT FOUND",0,1))</f>
        <v/>
      </c>
      <c r="F449" s="160" t="str">
        <f>IF(C449="","",_xlfn.XLOOKUP(D449,Legend!$A$29:$A$118,Legend!$B$29:$B$118,"NOT FOUND",0,1))</f>
        <v/>
      </c>
      <c r="G449" s="268" t="str">
        <f>IF(C449="","",_xlfn.XLOOKUP(D449,Legend!$A$29:$A$118,Legend!$C$29:$C$118,"NOT FOUND",0,1))</f>
        <v/>
      </c>
    </row>
    <row r="450" spans="1:7" x14ac:dyDescent="0.2">
      <c r="A450" s="3">
        <v>1</v>
      </c>
      <c r="C450" s="3" t="str">
        <f>IF(B450="","",IF(ISNUMBER(VALUE(_xlfn.TEXTBEFORE(B450," "))),_xlfn.XLOOKUP(VALUE(_xlfn.TEXTBEFORE(B450," ")),Legend!$B$11:$B$26,Legend!$A$11:$A$26,"NOT FOUND",0,1),_xlfn.TEXTBEFORE(B450," ")))</f>
        <v/>
      </c>
      <c r="D450" s="3" t="str">
        <f t="shared" si="7"/>
        <v/>
      </c>
      <c r="E450" s="159" t="str">
        <f>IF(C450="","",_xlfn.XLOOKUP(C450,Legend!$A$10:$A$26,Legend!$C$10:$C$26,"NOT FOUND",0,1))</f>
        <v/>
      </c>
      <c r="F450" s="160" t="str">
        <f>IF(C450="","",_xlfn.XLOOKUP(D450,Legend!$A$29:$A$118,Legend!$B$29:$B$118,"NOT FOUND",0,1))</f>
        <v/>
      </c>
      <c r="G450" s="268" t="str">
        <f>IF(C450="","",_xlfn.XLOOKUP(D450,Legend!$A$29:$A$118,Legend!$C$29:$C$118,"NOT FOUND",0,1))</f>
        <v/>
      </c>
    </row>
    <row r="451" spans="1:7" x14ac:dyDescent="0.2">
      <c r="A451" s="3">
        <v>1</v>
      </c>
      <c r="C451" s="3" t="str">
        <f>IF(B451="","",IF(ISNUMBER(VALUE(_xlfn.TEXTBEFORE(B451," "))),_xlfn.XLOOKUP(VALUE(_xlfn.TEXTBEFORE(B451," ")),Legend!$B$11:$B$26,Legend!$A$11:$A$26,"NOT FOUND",0,1),_xlfn.TEXTBEFORE(B451," ")))</f>
        <v/>
      </c>
      <c r="D451" s="3" t="str">
        <f t="shared" si="7"/>
        <v/>
      </c>
      <c r="E451" s="159" t="str">
        <f>IF(C451="","",_xlfn.XLOOKUP(C451,Legend!$A$10:$A$26,Legend!$C$10:$C$26,"NOT FOUND",0,1))</f>
        <v/>
      </c>
      <c r="F451" s="160" t="str">
        <f>IF(C451="","",_xlfn.XLOOKUP(D451,Legend!$A$29:$A$118,Legend!$B$29:$B$118,"NOT FOUND",0,1))</f>
        <v/>
      </c>
      <c r="G451" s="268" t="str">
        <f>IF(C451="","",_xlfn.XLOOKUP(D451,Legend!$A$29:$A$118,Legend!$C$29:$C$118,"NOT FOUND",0,1))</f>
        <v/>
      </c>
    </row>
    <row r="452" spans="1:7" x14ac:dyDescent="0.2">
      <c r="A452" s="3">
        <v>1</v>
      </c>
      <c r="C452" s="3" t="str">
        <f>IF(B452="","",IF(ISNUMBER(VALUE(_xlfn.TEXTBEFORE(B452," "))),_xlfn.XLOOKUP(VALUE(_xlfn.TEXTBEFORE(B452," ")),Legend!$B$11:$B$26,Legend!$A$11:$A$26,"NOT FOUND",0,1),_xlfn.TEXTBEFORE(B452," ")))</f>
        <v/>
      </c>
      <c r="D452" s="3" t="str">
        <f t="shared" si="7"/>
        <v/>
      </c>
      <c r="E452" s="159" t="str">
        <f>IF(C452="","",_xlfn.XLOOKUP(C452,Legend!$A$10:$A$26,Legend!$C$10:$C$26,"NOT FOUND",0,1))</f>
        <v/>
      </c>
      <c r="F452" s="160" t="str">
        <f>IF(C452="","",_xlfn.XLOOKUP(D452,Legend!$A$29:$A$118,Legend!$B$29:$B$118,"NOT FOUND",0,1))</f>
        <v/>
      </c>
      <c r="G452" s="268" t="str">
        <f>IF(C452="","",_xlfn.XLOOKUP(D452,Legend!$A$29:$A$118,Legend!$C$29:$C$118,"NOT FOUND",0,1))</f>
        <v/>
      </c>
    </row>
    <row r="453" spans="1:7" x14ac:dyDescent="0.2">
      <c r="A453" s="3">
        <v>1</v>
      </c>
      <c r="C453" s="3" t="str">
        <f>IF(B453="","",IF(ISNUMBER(VALUE(_xlfn.TEXTBEFORE(B453," "))),_xlfn.XLOOKUP(VALUE(_xlfn.TEXTBEFORE(B453," ")),Legend!$B$11:$B$26,Legend!$A$11:$A$26,"NOT FOUND",0,1),_xlfn.TEXTBEFORE(B453," ")))</f>
        <v/>
      </c>
      <c r="D453" s="3" t="str">
        <f t="shared" si="7"/>
        <v/>
      </c>
      <c r="E453" s="159" t="str">
        <f>IF(C453="","",_xlfn.XLOOKUP(C453,Legend!$A$10:$A$26,Legend!$C$10:$C$26,"NOT FOUND",0,1))</f>
        <v/>
      </c>
      <c r="F453" s="160" t="str">
        <f>IF(C453="","",_xlfn.XLOOKUP(D453,Legend!$A$29:$A$118,Legend!$B$29:$B$118,"NOT FOUND",0,1))</f>
        <v/>
      </c>
      <c r="G453" s="268" t="str">
        <f>IF(C453="","",_xlfn.XLOOKUP(D453,Legend!$A$29:$A$118,Legend!$C$29:$C$118,"NOT FOUND",0,1))</f>
        <v/>
      </c>
    </row>
    <row r="454" spans="1:7" x14ac:dyDescent="0.2">
      <c r="A454" s="3">
        <v>1</v>
      </c>
      <c r="C454" s="3" t="str">
        <f>IF(B454="","",IF(ISNUMBER(VALUE(_xlfn.TEXTBEFORE(B454," "))),_xlfn.XLOOKUP(VALUE(_xlfn.TEXTBEFORE(B454," ")),Legend!$B$11:$B$26,Legend!$A$11:$A$26,"NOT FOUND",0,1),_xlfn.TEXTBEFORE(B454," ")))</f>
        <v/>
      </c>
      <c r="D454" s="3" t="str">
        <f t="shared" si="7"/>
        <v/>
      </c>
      <c r="E454" s="159" t="str">
        <f>IF(C454="","",_xlfn.XLOOKUP(C454,Legend!$A$10:$A$26,Legend!$C$10:$C$26,"NOT FOUND",0,1))</f>
        <v/>
      </c>
      <c r="F454" s="160" t="str">
        <f>IF(C454="","",_xlfn.XLOOKUP(D454,Legend!$A$29:$A$118,Legend!$B$29:$B$118,"NOT FOUND",0,1))</f>
        <v/>
      </c>
      <c r="G454" s="268" t="str">
        <f>IF(C454="","",_xlfn.XLOOKUP(D454,Legend!$A$29:$A$118,Legend!$C$29:$C$118,"NOT FOUND",0,1))</f>
        <v/>
      </c>
    </row>
    <row r="455" spans="1:7" x14ac:dyDescent="0.2">
      <c r="A455" s="3">
        <v>1</v>
      </c>
      <c r="C455" s="3" t="str">
        <f>IF(B455="","",IF(ISNUMBER(VALUE(_xlfn.TEXTBEFORE(B455," "))),_xlfn.XLOOKUP(VALUE(_xlfn.TEXTBEFORE(B455," ")),Legend!$B$11:$B$26,Legend!$A$11:$A$26,"NOT FOUND",0,1),_xlfn.TEXTBEFORE(B455," ")))</f>
        <v/>
      </c>
      <c r="D455" s="3" t="str">
        <f t="shared" si="7"/>
        <v/>
      </c>
      <c r="E455" s="159" t="str">
        <f>IF(C455="","",_xlfn.XLOOKUP(C455,Legend!$A$10:$A$26,Legend!$C$10:$C$26,"NOT FOUND",0,1))</f>
        <v/>
      </c>
      <c r="F455" s="160" t="str">
        <f>IF(C455="","",_xlfn.XLOOKUP(D455,Legend!$A$29:$A$118,Legend!$B$29:$B$118,"NOT FOUND",0,1))</f>
        <v/>
      </c>
      <c r="G455" s="268" t="str">
        <f>IF(C455="","",_xlfn.XLOOKUP(D455,Legend!$A$29:$A$118,Legend!$C$29:$C$118,"NOT FOUND",0,1))</f>
        <v/>
      </c>
    </row>
    <row r="456" spans="1:7" x14ac:dyDescent="0.2">
      <c r="A456" s="3">
        <v>1</v>
      </c>
      <c r="C456" s="3" t="str">
        <f>IF(B456="","",IF(ISNUMBER(VALUE(_xlfn.TEXTBEFORE(B456," "))),_xlfn.XLOOKUP(VALUE(_xlfn.TEXTBEFORE(B456," ")),Legend!$B$11:$B$26,Legend!$A$11:$A$26,"NOT FOUND",0,1),_xlfn.TEXTBEFORE(B456," ")))</f>
        <v/>
      </c>
      <c r="D456" s="3" t="str">
        <f t="shared" si="7"/>
        <v/>
      </c>
      <c r="E456" s="159" t="str">
        <f>IF(C456="","",_xlfn.XLOOKUP(C456,Legend!$A$10:$A$26,Legend!$C$10:$C$26,"NOT FOUND",0,1))</f>
        <v/>
      </c>
      <c r="F456" s="160" t="str">
        <f>IF(C456="","",_xlfn.XLOOKUP(D456,Legend!$A$29:$A$118,Legend!$B$29:$B$118,"NOT FOUND",0,1))</f>
        <v/>
      </c>
      <c r="G456" s="268" t="str">
        <f>IF(C456="","",_xlfn.XLOOKUP(D456,Legend!$A$29:$A$118,Legend!$C$29:$C$118,"NOT FOUND",0,1))</f>
        <v/>
      </c>
    </row>
    <row r="457" spans="1:7" x14ac:dyDescent="0.2">
      <c r="A457" s="3">
        <v>1</v>
      </c>
      <c r="C457" s="3" t="str">
        <f>IF(B457="","",IF(ISNUMBER(VALUE(_xlfn.TEXTBEFORE(B457," "))),_xlfn.XLOOKUP(VALUE(_xlfn.TEXTBEFORE(B457," ")),Legend!$B$11:$B$26,Legend!$A$11:$A$26,"NOT FOUND",0,1),_xlfn.TEXTBEFORE(B457," ")))</f>
        <v/>
      </c>
      <c r="D457" s="3" t="str">
        <f t="shared" si="7"/>
        <v/>
      </c>
      <c r="E457" s="159" t="str">
        <f>IF(C457="","",_xlfn.XLOOKUP(C457,Legend!$A$10:$A$26,Legend!$C$10:$C$26,"NOT FOUND",0,1))</f>
        <v/>
      </c>
      <c r="F457" s="160" t="str">
        <f>IF(C457="","",_xlfn.XLOOKUP(D457,Legend!$A$29:$A$118,Legend!$B$29:$B$118,"NOT FOUND",0,1))</f>
        <v/>
      </c>
      <c r="G457" s="268" t="str">
        <f>IF(C457="","",_xlfn.XLOOKUP(D457,Legend!$A$29:$A$118,Legend!$C$29:$C$118,"NOT FOUND",0,1))</f>
        <v/>
      </c>
    </row>
    <row r="458" spans="1:7" x14ac:dyDescent="0.2">
      <c r="A458" s="3">
        <v>1</v>
      </c>
      <c r="C458" s="3" t="str">
        <f>IF(B458="","",IF(ISNUMBER(VALUE(_xlfn.TEXTBEFORE(B458," "))),_xlfn.XLOOKUP(VALUE(_xlfn.TEXTBEFORE(B458," ")),Legend!$B$11:$B$26,Legend!$A$11:$A$26,"NOT FOUND",0,1),_xlfn.TEXTBEFORE(B458," ")))</f>
        <v/>
      </c>
      <c r="D458" s="3" t="str">
        <f t="shared" si="7"/>
        <v/>
      </c>
      <c r="E458" s="159" t="str">
        <f>IF(C458="","",_xlfn.XLOOKUP(C458,Legend!$A$10:$A$26,Legend!$C$10:$C$26,"NOT FOUND",0,1))</f>
        <v/>
      </c>
      <c r="F458" s="160" t="str">
        <f>IF(C458="","",_xlfn.XLOOKUP(D458,Legend!$A$29:$A$118,Legend!$B$29:$B$118,"NOT FOUND",0,1))</f>
        <v/>
      </c>
      <c r="G458" s="268" t="str">
        <f>IF(C458="","",_xlfn.XLOOKUP(D458,Legend!$A$29:$A$118,Legend!$C$29:$C$118,"NOT FOUND",0,1))</f>
        <v/>
      </c>
    </row>
    <row r="459" spans="1:7" x14ac:dyDescent="0.2">
      <c r="A459" s="3">
        <v>1</v>
      </c>
      <c r="C459" s="3" t="str">
        <f>IF(B459="","",IF(ISNUMBER(VALUE(_xlfn.TEXTBEFORE(B459," "))),_xlfn.XLOOKUP(VALUE(_xlfn.TEXTBEFORE(B459," ")),Legend!$B$11:$B$26,Legend!$A$11:$A$26,"NOT FOUND",0,1),_xlfn.TEXTBEFORE(B459," ")))</f>
        <v/>
      </c>
      <c r="D459" s="3" t="str">
        <f t="shared" si="7"/>
        <v/>
      </c>
      <c r="E459" s="159" t="str">
        <f>IF(C459="","",_xlfn.XLOOKUP(C459,Legend!$A$10:$A$26,Legend!$C$10:$C$26,"NOT FOUND",0,1))</f>
        <v/>
      </c>
      <c r="F459" s="160" t="str">
        <f>IF(C459="","",_xlfn.XLOOKUP(D459,Legend!$A$29:$A$118,Legend!$B$29:$B$118,"NOT FOUND",0,1))</f>
        <v/>
      </c>
      <c r="G459" s="268" t="str">
        <f>IF(C459="","",_xlfn.XLOOKUP(D459,Legend!$A$29:$A$118,Legend!$C$29:$C$118,"NOT FOUND",0,1))</f>
        <v/>
      </c>
    </row>
    <row r="460" spans="1:7" x14ac:dyDescent="0.2">
      <c r="A460" s="3">
        <v>1</v>
      </c>
      <c r="C460" s="3" t="str">
        <f>IF(B460="","",IF(ISNUMBER(VALUE(_xlfn.TEXTBEFORE(B460," "))),_xlfn.XLOOKUP(VALUE(_xlfn.TEXTBEFORE(B460," ")),Legend!$B$11:$B$26,Legend!$A$11:$A$26,"NOT FOUND",0,1),_xlfn.TEXTBEFORE(B460," ")))</f>
        <v/>
      </c>
      <c r="D460" s="3" t="str">
        <f t="shared" si="7"/>
        <v/>
      </c>
      <c r="E460" s="159" t="str">
        <f>IF(C460="","",_xlfn.XLOOKUP(C460,Legend!$A$10:$A$26,Legend!$C$10:$C$26,"NOT FOUND",0,1))</f>
        <v/>
      </c>
      <c r="F460" s="160" t="str">
        <f>IF(C460="","",_xlfn.XLOOKUP(D460,Legend!$A$29:$A$118,Legend!$B$29:$B$118,"NOT FOUND",0,1))</f>
        <v/>
      </c>
      <c r="G460" s="268" t="str">
        <f>IF(C460="","",_xlfn.XLOOKUP(D460,Legend!$A$29:$A$118,Legend!$C$29:$C$118,"NOT FOUND",0,1))</f>
        <v/>
      </c>
    </row>
    <row r="461" spans="1:7" x14ac:dyDescent="0.2">
      <c r="A461" s="3">
        <v>1</v>
      </c>
      <c r="C461" s="3" t="str">
        <f>IF(B461="","",IF(ISNUMBER(VALUE(_xlfn.TEXTBEFORE(B461," "))),_xlfn.XLOOKUP(VALUE(_xlfn.TEXTBEFORE(B461," ")),Legend!$B$11:$B$26,Legend!$A$11:$A$26,"NOT FOUND",0,1),_xlfn.TEXTBEFORE(B461," ")))</f>
        <v/>
      </c>
      <c r="D461" s="3" t="str">
        <f t="shared" si="7"/>
        <v/>
      </c>
      <c r="E461" s="159" t="str">
        <f>IF(C461="","",_xlfn.XLOOKUP(C461,Legend!$A$10:$A$26,Legend!$C$10:$C$26,"NOT FOUND",0,1))</f>
        <v/>
      </c>
      <c r="F461" s="160" t="str">
        <f>IF(C461="","",_xlfn.XLOOKUP(D461,Legend!$A$29:$A$118,Legend!$B$29:$B$118,"NOT FOUND",0,1))</f>
        <v/>
      </c>
      <c r="G461" s="268" t="str">
        <f>IF(C461="","",_xlfn.XLOOKUP(D461,Legend!$A$29:$A$118,Legend!$C$29:$C$118,"NOT FOUND",0,1))</f>
        <v/>
      </c>
    </row>
    <row r="462" spans="1:7" x14ac:dyDescent="0.2">
      <c r="A462" s="3">
        <v>1</v>
      </c>
      <c r="C462" s="3" t="str">
        <f>IF(B462="","",IF(ISNUMBER(VALUE(_xlfn.TEXTBEFORE(B462," "))),_xlfn.XLOOKUP(VALUE(_xlfn.TEXTBEFORE(B462," ")),Legend!$B$11:$B$26,Legend!$A$11:$A$26,"NOT FOUND",0,1),_xlfn.TEXTBEFORE(B462," ")))</f>
        <v/>
      </c>
      <c r="D462" s="3" t="str">
        <f t="shared" si="7"/>
        <v/>
      </c>
      <c r="E462" s="159" t="str">
        <f>IF(C462="","",_xlfn.XLOOKUP(C462,Legend!$A$10:$A$26,Legend!$C$10:$C$26,"NOT FOUND",0,1))</f>
        <v/>
      </c>
      <c r="F462" s="160" t="str">
        <f>IF(C462="","",_xlfn.XLOOKUP(D462,Legend!$A$29:$A$118,Legend!$B$29:$B$118,"NOT FOUND",0,1))</f>
        <v/>
      </c>
      <c r="G462" s="268" t="str">
        <f>IF(C462="","",_xlfn.XLOOKUP(D462,Legend!$A$29:$A$118,Legend!$C$29:$C$118,"NOT FOUND",0,1))</f>
        <v/>
      </c>
    </row>
    <row r="463" spans="1:7" x14ac:dyDescent="0.2">
      <c r="A463" s="3">
        <v>1</v>
      </c>
      <c r="C463" s="3" t="str">
        <f>IF(B463="","",IF(ISNUMBER(VALUE(_xlfn.TEXTBEFORE(B463," "))),_xlfn.XLOOKUP(VALUE(_xlfn.TEXTBEFORE(B463," ")),Legend!$B$11:$B$26,Legend!$A$11:$A$26,"NOT FOUND",0,1),_xlfn.TEXTBEFORE(B463," ")))</f>
        <v/>
      </c>
      <c r="D463" s="3" t="str">
        <f t="shared" si="7"/>
        <v/>
      </c>
      <c r="E463" s="159" t="str">
        <f>IF(C463="","",_xlfn.XLOOKUP(C463,Legend!$A$10:$A$26,Legend!$C$10:$C$26,"NOT FOUND",0,1))</f>
        <v/>
      </c>
      <c r="F463" s="160" t="str">
        <f>IF(C463="","",_xlfn.XLOOKUP(D463,Legend!$A$29:$A$118,Legend!$B$29:$B$118,"NOT FOUND",0,1))</f>
        <v/>
      </c>
      <c r="G463" s="268" t="str">
        <f>IF(C463="","",_xlfn.XLOOKUP(D463,Legend!$A$29:$A$118,Legend!$C$29:$C$118,"NOT FOUND",0,1))</f>
        <v/>
      </c>
    </row>
    <row r="464" spans="1:7" x14ac:dyDescent="0.2">
      <c r="A464" s="3">
        <v>1</v>
      </c>
      <c r="C464" s="3" t="str">
        <f>IF(B464="","",IF(ISNUMBER(VALUE(_xlfn.TEXTBEFORE(B464," "))),_xlfn.XLOOKUP(VALUE(_xlfn.TEXTBEFORE(B464," ")),Legend!$B$11:$B$26,Legend!$A$11:$A$26,"NOT FOUND",0,1),_xlfn.TEXTBEFORE(B464," ")))</f>
        <v/>
      </c>
      <c r="D464" s="3" t="str">
        <f t="shared" si="7"/>
        <v/>
      </c>
      <c r="E464" s="159" t="str">
        <f>IF(C464="","",_xlfn.XLOOKUP(C464,Legend!$A$10:$A$26,Legend!$C$10:$C$26,"NOT FOUND",0,1))</f>
        <v/>
      </c>
      <c r="F464" s="160" t="str">
        <f>IF(C464="","",_xlfn.XLOOKUP(D464,Legend!$A$29:$A$118,Legend!$B$29:$B$118,"NOT FOUND",0,1))</f>
        <v/>
      </c>
      <c r="G464" s="268" t="str">
        <f>IF(C464="","",_xlfn.XLOOKUP(D464,Legend!$A$29:$A$118,Legend!$C$29:$C$118,"NOT FOUND",0,1))</f>
        <v/>
      </c>
    </row>
    <row r="465" spans="1:7" x14ac:dyDescent="0.2">
      <c r="A465" s="3">
        <v>1</v>
      </c>
      <c r="C465" s="3" t="str">
        <f>IF(B465="","",IF(ISNUMBER(VALUE(_xlfn.TEXTBEFORE(B465," "))),_xlfn.XLOOKUP(VALUE(_xlfn.TEXTBEFORE(B465," ")),Legend!$B$11:$B$26,Legend!$A$11:$A$26,"NOT FOUND",0,1),_xlfn.TEXTBEFORE(B465," ")))</f>
        <v/>
      </c>
      <c r="D465" s="3" t="str">
        <f t="shared" si="7"/>
        <v/>
      </c>
      <c r="E465" s="159" t="str">
        <f>IF(C465="","",_xlfn.XLOOKUP(C465,Legend!$A$10:$A$26,Legend!$C$10:$C$26,"NOT FOUND",0,1))</f>
        <v/>
      </c>
      <c r="F465" s="160" t="str">
        <f>IF(C465="","",_xlfn.XLOOKUP(D465,Legend!$A$29:$A$118,Legend!$B$29:$B$118,"NOT FOUND",0,1))</f>
        <v/>
      </c>
      <c r="G465" s="268" t="str">
        <f>IF(C465="","",_xlfn.XLOOKUP(D465,Legend!$A$29:$A$118,Legend!$C$29:$C$118,"NOT FOUND",0,1))</f>
        <v/>
      </c>
    </row>
    <row r="466" spans="1:7" x14ac:dyDescent="0.2">
      <c r="A466" s="3">
        <v>1</v>
      </c>
      <c r="C466" s="3" t="str">
        <f>IF(B466="","",IF(ISNUMBER(VALUE(_xlfn.TEXTBEFORE(B466," "))),_xlfn.XLOOKUP(VALUE(_xlfn.TEXTBEFORE(B466," ")),Legend!$B$11:$B$26,Legend!$A$11:$A$26,"NOT FOUND",0,1),_xlfn.TEXTBEFORE(B466," ")))</f>
        <v/>
      </c>
      <c r="D466" s="3" t="str">
        <f t="shared" si="7"/>
        <v/>
      </c>
      <c r="E466" s="159" t="str">
        <f>IF(C466="","",_xlfn.XLOOKUP(C466,Legend!$A$10:$A$26,Legend!$C$10:$C$26,"NOT FOUND",0,1))</f>
        <v/>
      </c>
      <c r="F466" s="160" t="str">
        <f>IF(C466="","",_xlfn.XLOOKUP(D466,Legend!$A$29:$A$118,Legend!$B$29:$B$118,"NOT FOUND",0,1))</f>
        <v/>
      </c>
      <c r="G466" s="268" t="str">
        <f>IF(C466="","",_xlfn.XLOOKUP(D466,Legend!$A$29:$A$118,Legend!$C$29:$C$118,"NOT FOUND",0,1))</f>
        <v/>
      </c>
    </row>
    <row r="467" spans="1:7" x14ac:dyDescent="0.2">
      <c r="A467" s="3">
        <v>1</v>
      </c>
      <c r="C467" s="3" t="str">
        <f>IF(B467="","",IF(ISNUMBER(VALUE(_xlfn.TEXTBEFORE(B467," "))),_xlfn.XLOOKUP(VALUE(_xlfn.TEXTBEFORE(B467," ")),Legend!$B$11:$B$26,Legend!$A$11:$A$26,"NOT FOUND",0,1),_xlfn.TEXTBEFORE(B467," ")))</f>
        <v/>
      </c>
      <c r="D467" s="3" t="str">
        <f t="shared" si="7"/>
        <v/>
      </c>
      <c r="E467" s="159" t="str">
        <f>IF(C467="","",_xlfn.XLOOKUP(C467,Legend!$A$10:$A$26,Legend!$C$10:$C$26,"NOT FOUND",0,1))</f>
        <v/>
      </c>
      <c r="F467" s="160" t="str">
        <f>IF(C467="","",_xlfn.XLOOKUP(D467,Legend!$A$29:$A$118,Legend!$B$29:$B$118,"NOT FOUND",0,1))</f>
        <v/>
      </c>
      <c r="G467" s="268" t="str">
        <f>IF(C467="","",_xlfn.XLOOKUP(D467,Legend!$A$29:$A$118,Legend!$C$29:$C$118,"NOT FOUND",0,1))</f>
        <v/>
      </c>
    </row>
    <row r="468" spans="1:7" x14ac:dyDescent="0.2">
      <c r="A468" s="3">
        <v>1</v>
      </c>
      <c r="C468" s="3" t="str">
        <f>IF(B468="","",IF(ISNUMBER(VALUE(_xlfn.TEXTBEFORE(B468," "))),_xlfn.XLOOKUP(VALUE(_xlfn.TEXTBEFORE(B468," ")),Legend!$B$11:$B$26,Legend!$A$11:$A$26,"NOT FOUND",0,1),_xlfn.TEXTBEFORE(B468," ")))</f>
        <v/>
      </c>
      <c r="D468" s="3" t="str">
        <f t="shared" si="7"/>
        <v/>
      </c>
      <c r="E468" s="159" t="str">
        <f>IF(C468="","",_xlfn.XLOOKUP(C468,Legend!$A$10:$A$26,Legend!$C$10:$C$26,"NOT FOUND",0,1))</f>
        <v/>
      </c>
      <c r="F468" s="160" t="str">
        <f>IF(C468="","",_xlfn.XLOOKUP(D468,Legend!$A$29:$A$118,Legend!$B$29:$B$118,"NOT FOUND",0,1))</f>
        <v/>
      </c>
      <c r="G468" s="268" t="str">
        <f>IF(C468="","",_xlfn.XLOOKUP(D468,Legend!$A$29:$A$118,Legend!$C$29:$C$118,"NOT FOUND",0,1))</f>
        <v/>
      </c>
    </row>
    <row r="469" spans="1:7" x14ac:dyDescent="0.2">
      <c r="A469" s="3">
        <v>1</v>
      </c>
      <c r="C469" s="3" t="str">
        <f>IF(B469="","",IF(ISNUMBER(VALUE(_xlfn.TEXTBEFORE(B469," "))),_xlfn.XLOOKUP(VALUE(_xlfn.TEXTBEFORE(B469," ")),Legend!$B$11:$B$26,Legend!$A$11:$A$26,"NOT FOUND",0,1),_xlfn.TEXTBEFORE(B469," ")))</f>
        <v/>
      </c>
      <c r="D469" s="3" t="str">
        <f t="shared" si="7"/>
        <v/>
      </c>
      <c r="E469" s="159" t="str">
        <f>IF(C469="","",_xlfn.XLOOKUP(C469,Legend!$A$10:$A$26,Legend!$C$10:$C$26,"NOT FOUND",0,1))</f>
        <v/>
      </c>
      <c r="F469" s="160" t="str">
        <f>IF(C469="","",_xlfn.XLOOKUP(D469,Legend!$A$29:$A$118,Legend!$B$29:$B$118,"NOT FOUND",0,1))</f>
        <v/>
      </c>
      <c r="G469" s="268" t="str">
        <f>IF(C469="","",_xlfn.XLOOKUP(D469,Legend!$A$29:$A$118,Legend!$C$29:$C$118,"NOT FOUND",0,1))</f>
        <v/>
      </c>
    </row>
    <row r="470" spans="1:7" x14ac:dyDescent="0.2">
      <c r="A470" s="3">
        <v>1</v>
      </c>
      <c r="C470" s="3" t="str">
        <f>IF(B470="","",IF(ISNUMBER(VALUE(_xlfn.TEXTBEFORE(B470," "))),_xlfn.XLOOKUP(VALUE(_xlfn.TEXTBEFORE(B470," ")),Legend!$B$11:$B$26,Legend!$A$11:$A$26,"NOT FOUND",0,1),_xlfn.TEXTBEFORE(B470," ")))</f>
        <v/>
      </c>
      <c r="D470" s="3" t="str">
        <f t="shared" si="7"/>
        <v/>
      </c>
      <c r="E470" s="159" t="str">
        <f>IF(C470="","",_xlfn.XLOOKUP(C470,Legend!$A$10:$A$26,Legend!$C$10:$C$26,"NOT FOUND",0,1))</f>
        <v/>
      </c>
      <c r="F470" s="160" t="str">
        <f>IF(C470="","",_xlfn.XLOOKUP(D470,Legend!$A$29:$A$118,Legend!$B$29:$B$118,"NOT FOUND",0,1))</f>
        <v/>
      </c>
      <c r="G470" s="268" t="str">
        <f>IF(C470="","",_xlfn.XLOOKUP(D470,Legend!$A$29:$A$118,Legend!$C$29:$C$118,"NOT FOUND",0,1))</f>
        <v/>
      </c>
    </row>
    <row r="471" spans="1:7" x14ac:dyDescent="0.2">
      <c r="A471" s="3">
        <v>1</v>
      </c>
      <c r="C471" s="3" t="str">
        <f>IF(B471="","",IF(ISNUMBER(VALUE(_xlfn.TEXTBEFORE(B471," "))),_xlfn.XLOOKUP(VALUE(_xlfn.TEXTBEFORE(B471," ")),Legend!$B$11:$B$26,Legend!$A$11:$A$26,"NOT FOUND",0,1),_xlfn.TEXTBEFORE(B471," ")))</f>
        <v/>
      </c>
      <c r="D471" s="3" t="str">
        <f t="shared" si="7"/>
        <v/>
      </c>
      <c r="E471" s="159" t="str">
        <f>IF(C471="","",_xlfn.XLOOKUP(C471,Legend!$A$10:$A$26,Legend!$C$10:$C$26,"NOT FOUND",0,1))</f>
        <v/>
      </c>
      <c r="F471" s="160" t="str">
        <f>IF(C471="","",_xlfn.XLOOKUP(D471,Legend!$A$29:$A$118,Legend!$B$29:$B$118,"NOT FOUND",0,1))</f>
        <v/>
      </c>
      <c r="G471" s="268" t="str">
        <f>IF(C471="","",_xlfn.XLOOKUP(D471,Legend!$A$29:$A$118,Legend!$C$29:$C$118,"NOT FOUND",0,1))</f>
        <v/>
      </c>
    </row>
    <row r="472" spans="1:7" x14ac:dyDescent="0.2">
      <c r="A472" s="3">
        <v>1</v>
      </c>
      <c r="C472" s="3" t="str">
        <f>IF(B472="","",IF(ISNUMBER(VALUE(_xlfn.TEXTBEFORE(B472," "))),_xlfn.XLOOKUP(VALUE(_xlfn.TEXTBEFORE(B472," ")),Legend!$B$11:$B$26,Legend!$A$11:$A$26,"NOT FOUND",0,1),_xlfn.TEXTBEFORE(B472," ")))</f>
        <v/>
      </c>
      <c r="D472" s="3" t="str">
        <f t="shared" si="7"/>
        <v/>
      </c>
      <c r="E472" s="159" t="str">
        <f>IF(C472="","",_xlfn.XLOOKUP(C472,Legend!$A$10:$A$26,Legend!$C$10:$C$26,"NOT FOUND",0,1))</f>
        <v/>
      </c>
      <c r="F472" s="160" t="str">
        <f>IF(C472="","",_xlfn.XLOOKUP(D472,Legend!$A$29:$A$118,Legend!$B$29:$B$118,"NOT FOUND",0,1))</f>
        <v/>
      </c>
      <c r="G472" s="268" t="str">
        <f>IF(C472="","",_xlfn.XLOOKUP(D472,Legend!$A$29:$A$118,Legend!$C$29:$C$118,"NOT FOUND",0,1))</f>
        <v/>
      </c>
    </row>
    <row r="473" spans="1:7" x14ac:dyDescent="0.2">
      <c r="A473" s="3">
        <v>1</v>
      </c>
      <c r="C473" s="3" t="str">
        <f>IF(B473="","",IF(ISNUMBER(VALUE(_xlfn.TEXTBEFORE(B473," "))),_xlfn.XLOOKUP(VALUE(_xlfn.TEXTBEFORE(B473," ")),Legend!$B$11:$B$26,Legend!$A$11:$A$26,"NOT FOUND",0,1),_xlfn.TEXTBEFORE(B473," ")))</f>
        <v/>
      </c>
      <c r="D473" s="3" t="str">
        <f t="shared" si="7"/>
        <v/>
      </c>
      <c r="E473" s="159" t="str">
        <f>IF(C473="","",_xlfn.XLOOKUP(C473,Legend!$A$10:$A$26,Legend!$C$10:$C$26,"NOT FOUND",0,1))</f>
        <v/>
      </c>
      <c r="F473" s="160" t="str">
        <f>IF(C473="","",_xlfn.XLOOKUP(D473,Legend!$A$29:$A$118,Legend!$B$29:$B$118,"NOT FOUND",0,1))</f>
        <v/>
      </c>
      <c r="G473" s="268" t="str">
        <f>IF(C473="","",_xlfn.XLOOKUP(D473,Legend!$A$29:$A$118,Legend!$C$29:$C$118,"NOT FOUND",0,1))</f>
        <v/>
      </c>
    </row>
    <row r="474" spans="1:7" x14ac:dyDescent="0.2">
      <c r="A474" s="3">
        <v>1</v>
      </c>
      <c r="C474" s="3" t="str">
        <f>IF(B474="","",IF(ISNUMBER(VALUE(_xlfn.TEXTBEFORE(B474," "))),_xlfn.XLOOKUP(VALUE(_xlfn.TEXTBEFORE(B474," ")),Legend!$B$11:$B$26,Legend!$A$11:$A$26,"NOT FOUND",0,1),_xlfn.TEXTBEFORE(B474," ")))</f>
        <v/>
      </c>
      <c r="D474" s="3" t="str">
        <f t="shared" si="7"/>
        <v/>
      </c>
      <c r="E474" s="159" t="str">
        <f>IF(C474="","",_xlfn.XLOOKUP(C474,Legend!$A$10:$A$26,Legend!$C$10:$C$26,"NOT FOUND",0,1))</f>
        <v/>
      </c>
      <c r="F474" s="160" t="str">
        <f>IF(C474="","",_xlfn.XLOOKUP(D474,Legend!$A$29:$A$118,Legend!$B$29:$B$118,"NOT FOUND",0,1))</f>
        <v/>
      </c>
      <c r="G474" s="268" t="str">
        <f>IF(C474="","",_xlfn.XLOOKUP(D474,Legend!$A$29:$A$118,Legend!$C$29:$C$118,"NOT FOUND",0,1))</f>
        <v/>
      </c>
    </row>
    <row r="475" spans="1:7" x14ac:dyDescent="0.2">
      <c r="A475" s="3">
        <v>1</v>
      </c>
      <c r="C475" s="3" t="str">
        <f>IF(B475="","",IF(ISNUMBER(VALUE(_xlfn.TEXTBEFORE(B475," "))),_xlfn.XLOOKUP(VALUE(_xlfn.TEXTBEFORE(B475," ")),Legend!$B$11:$B$26,Legend!$A$11:$A$26,"NOT FOUND",0,1),_xlfn.TEXTBEFORE(B475," ")))</f>
        <v/>
      </c>
      <c r="D475" s="3" t="str">
        <f t="shared" si="7"/>
        <v/>
      </c>
      <c r="E475" s="159" t="str">
        <f>IF(C475="","",_xlfn.XLOOKUP(C475,Legend!$A$10:$A$26,Legend!$C$10:$C$26,"NOT FOUND",0,1))</f>
        <v/>
      </c>
      <c r="F475" s="160" t="str">
        <f>IF(C475="","",_xlfn.XLOOKUP(D475,Legend!$A$29:$A$118,Legend!$B$29:$B$118,"NOT FOUND",0,1))</f>
        <v/>
      </c>
      <c r="G475" s="268" t="str">
        <f>IF(C475="","",_xlfn.XLOOKUP(D475,Legend!$A$29:$A$118,Legend!$C$29:$C$118,"NOT FOUND",0,1))</f>
        <v/>
      </c>
    </row>
    <row r="476" spans="1:7" x14ac:dyDescent="0.2">
      <c r="A476" s="3">
        <v>1</v>
      </c>
      <c r="C476" s="3" t="str">
        <f>IF(B476="","",IF(ISNUMBER(VALUE(_xlfn.TEXTBEFORE(B476," "))),_xlfn.XLOOKUP(VALUE(_xlfn.TEXTBEFORE(B476," ")),Legend!$B$11:$B$26,Legend!$A$11:$A$26,"NOT FOUND",0,1),_xlfn.TEXTBEFORE(B476," ")))</f>
        <v/>
      </c>
      <c r="D476" s="3" t="str">
        <f t="shared" si="7"/>
        <v/>
      </c>
      <c r="E476" s="159" t="str">
        <f>IF(C476="","",_xlfn.XLOOKUP(C476,Legend!$A$10:$A$26,Legend!$C$10:$C$26,"NOT FOUND",0,1))</f>
        <v/>
      </c>
      <c r="F476" s="160" t="str">
        <f>IF(C476="","",_xlfn.XLOOKUP(D476,Legend!$A$29:$A$118,Legend!$B$29:$B$118,"NOT FOUND",0,1))</f>
        <v/>
      </c>
      <c r="G476" s="268" t="str">
        <f>IF(C476="","",_xlfn.XLOOKUP(D476,Legend!$A$29:$A$118,Legend!$C$29:$C$118,"NOT FOUND",0,1))</f>
        <v/>
      </c>
    </row>
    <row r="477" spans="1:7" x14ac:dyDescent="0.2">
      <c r="A477" s="3">
        <v>1</v>
      </c>
      <c r="C477" s="3" t="str">
        <f>IF(B477="","",IF(ISNUMBER(VALUE(_xlfn.TEXTBEFORE(B477," "))),_xlfn.XLOOKUP(VALUE(_xlfn.TEXTBEFORE(B477," ")),Legend!$B$11:$B$26,Legend!$A$11:$A$26,"NOT FOUND",0,1),_xlfn.TEXTBEFORE(B477," ")))</f>
        <v/>
      </c>
      <c r="D477" s="3" t="str">
        <f t="shared" si="7"/>
        <v/>
      </c>
      <c r="E477" s="159" t="str">
        <f>IF(C477="","",_xlfn.XLOOKUP(C477,Legend!$A$10:$A$26,Legend!$C$10:$C$26,"NOT FOUND",0,1))</f>
        <v/>
      </c>
      <c r="F477" s="160" t="str">
        <f>IF(C477="","",_xlfn.XLOOKUP(D477,Legend!$A$29:$A$118,Legend!$B$29:$B$118,"NOT FOUND",0,1))</f>
        <v/>
      </c>
      <c r="G477" s="268" t="str">
        <f>IF(C477="","",_xlfn.XLOOKUP(D477,Legend!$A$29:$A$118,Legend!$C$29:$C$118,"NOT FOUND",0,1))</f>
        <v/>
      </c>
    </row>
    <row r="478" spans="1:7" x14ac:dyDescent="0.2">
      <c r="A478" s="3">
        <v>1</v>
      </c>
      <c r="C478" s="3" t="str">
        <f>IF(B478="","",IF(ISNUMBER(VALUE(_xlfn.TEXTBEFORE(B478," "))),_xlfn.XLOOKUP(VALUE(_xlfn.TEXTBEFORE(B478," ")),Legend!$B$11:$B$26,Legend!$A$11:$A$26,"NOT FOUND",0,1),_xlfn.TEXTBEFORE(B478," ")))</f>
        <v/>
      </c>
      <c r="D478" s="3" t="str">
        <f t="shared" si="7"/>
        <v/>
      </c>
      <c r="E478" s="159" t="str">
        <f>IF(C478="","",_xlfn.XLOOKUP(C478,Legend!$A$10:$A$26,Legend!$C$10:$C$26,"NOT FOUND",0,1))</f>
        <v/>
      </c>
      <c r="F478" s="160" t="str">
        <f>IF(C478="","",_xlfn.XLOOKUP(D478,Legend!$A$29:$A$118,Legend!$B$29:$B$118,"NOT FOUND",0,1))</f>
        <v/>
      </c>
      <c r="G478" s="268" t="str">
        <f>IF(C478="","",_xlfn.XLOOKUP(D478,Legend!$A$29:$A$118,Legend!$C$29:$C$118,"NOT FOUND",0,1))</f>
        <v/>
      </c>
    </row>
    <row r="479" spans="1:7" x14ac:dyDescent="0.2">
      <c r="A479" s="3">
        <v>1</v>
      </c>
      <c r="C479" s="3" t="str">
        <f>IF(B479="","",IF(ISNUMBER(VALUE(_xlfn.TEXTBEFORE(B479," "))),_xlfn.XLOOKUP(VALUE(_xlfn.TEXTBEFORE(B479," ")),Legend!$B$11:$B$26,Legend!$A$11:$A$26,"NOT FOUND",0,1),_xlfn.TEXTBEFORE(B479," ")))</f>
        <v/>
      </c>
      <c r="D479" s="3" t="str">
        <f t="shared" si="7"/>
        <v/>
      </c>
      <c r="E479" s="159" t="str">
        <f>IF(C479="","",_xlfn.XLOOKUP(C479,Legend!$A$10:$A$26,Legend!$C$10:$C$26,"NOT FOUND",0,1))</f>
        <v/>
      </c>
      <c r="F479" s="160" t="str">
        <f>IF(C479="","",_xlfn.XLOOKUP(D479,Legend!$A$29:$A$118,Legend!$B$29:$B$118,"NOT FOUND",0,1))</f>
        <v/>
      </c>
      <c r="G479" s="268" t="str">
        <f>IF(C479="","",_xlfn.XLOOKUP(D479,Legend!$A$29:$A$118,Legend!$C$29:$C$118,"NOT FOUND",0,1))</f>
        <v/>
      </c>
    </row>
    <row r="480" spans="1:7" x14ac:dyDescent="0.2">
      <c r="A480" s="3">
        <v>1</v>
      </c>
      <c r="C480" s="3" t="str">
        <f>IF(B480="","",IF(ISNUMBER(VALUE(_xlfn.TEXTBEFORE(B480," "))),_xlfn.XLOOKUP(VALUE(_xlfn.TEXTBEFORE(B480," ")),Legend!$B$11:$B$26,Legend!$A$11:$A$26,"NOT FOUND",0,1),_xlfn.TEXTBEFORE(B480," ")))</f>
        <v/>
      </c>
      <c r="D480" s="3" t="str">
        <f t="shared" si="7"/>
        <v/>
      </c>
      <c r="E480" s="159" t="str">
        <f>IF(C480="","",_xlfn.XLOOKUP(C480,Legend!$A$10:$A$26,Legend!$C$10:$C$26,"NOT FOUND",0,1))</f>
        <v/>
      </c>
      <c r="F480" s="160" t="str">
        <f>IF(C480="","",_xlfn.XLOOKUP(D480,Legend!$A$29:$A$118,Legend!$B$29:$B$118,"NOT FOUND",0,1))</f>
        <v/>
      </c>
      <c r="G480" s="268" t="str">
        <f>IF(C480="","",_xlfn.XLOOKUP(D480,Legend!$A$29:$A$118,Legend!$C$29:$C$118,"NOT FOUND",0,1))</f>
        <v/>
      </c>
    </row>
    <row r="481" spans="1:7" x14ac:dyDescent="0.2">
      <c r="A481" s="3">
        <v>1</v>
      </c>
      <c r="C481" s="3" t="str">
        <f>IF(B481="","",IF(ISNUMBER(VALUE(_xlfn.TEXTBEFORE(B481," "))),_xlfn.XLOOKUP(VALUE(_xlfn.TEXTBEFORE(B481," ")),Legend!$B$11:$B$26,Legend!$A$11:$A$26,"NOT FOUND",0,1),_xlfn.TEXTBEFORE(B481," ")))</f>
        <v/>
      </c>
      <c r="D481" s="3" t="str">
        <f t="shared" si="7"/>
        <v/>
      </c>
      <c r="E481" s="159" t="str">
        <f>IF(C481="","",_xlfn.XLOOKUP(C481,Legend!$A$10:$A$26,Legend!$C$10:$C$26,"NOT FOUND",0,1))</f>
        <v/>
      </c>
      <c r="F481" s="160" t="str">
        <f>IF(C481="","",_xlfn.XLOOKUP(D481,Legend!$A$29:$A$118,Legend!$B$29:$B$118,"NOT FOUND",0,1))</f>
        <v/>
      </c>
      <c r="G481" s="268" t="str">
        <f>IF(C481="","",_xlfn.XLOOKUP(D481,Legend!$A$29:$A$118,Legend!$C$29:$C$118,"NOT FOUND",0,1))</f>
        <v/>
      </c>
    </row>
    <row r="482" spans="1:7" x14ac:dyDescent="0.2">
      <c r="A482" s="3">
        <v>1</v>
      </c>
      <c r="C482" s="3" t="str">
        <f>IF(B482="","",IF(ISNUMBER(VALUE(_xlfn.TEXTBEFORE(B482," "))),_xlfn.XLOOKUP(VALUE(_xlfn.TEXTBEFORE(B482," ")),Legend!$B$11:$B$26,Legend!$A$11:$A$26,"NOT FOUND",0,1),_xlfn.TEXTBEFORE(B482," ")))</f>
        <v/>
      </c>
      <c r="D482" s="3" t="str">
        <f t="shared" si="7"/>
        <v/>
      </c>
      <c r="E482" s="159" t="str">
        <f>IF(C482="","",_xlfn.XLOOKUP(C482,Legend!$A$10:$A$26,Legend!$C$10:$C$26,"NOT FOUND",0,1))</f>
        <v/>
      </c>
      <c r="F482" s="160" t="str">
        <f>IF(C482="","",_xlfn.XLOOKUP(D482,Legend!$A$29:$A$118,Legend!$B$29:$B$118,"NOT FOUND",0,1))</f>
        <v/>
      </c>
      <c r="G482" s="268" t="str">
        <f>IF(C482="","",_xlfn.XLOOKUP(D482,Legend!$A$29:$A$118,Legend!$C$29:$C$118,"NOT FOUND",0,1))</f>
        <v/>
      </c>
    </row>
    <row r="483" spans="1:7" x14ac:dyDescent="0.2">
      <c r="A483" s="3">
        <v>1</v>
      </c>
      <c r="C483" s="3" t="str">
        <f>IF(B483="","",IF(ISNUMBER(VALUE(_xlfn.TEXTBEFORE(B483," "))),_xlfn.XLOOKUP(VALUE(_xlfn.TEXTBEFORE(B483," ")),Legend!$B$11:$B$26,Legend!$A$11:$A$26,"NOT FOUND",0,1),_xlfn.TEXTBEFORE(B483," ")))</f>
        <v/>
      </c>
      <c r="D483" s="3" t="str">
        <f t="shared" si="7"/>
        <v/>
      </c>
      <c r="E483" s="159" t="str">
        <f>IF(C483="","",_xlfn.XLOOKUP(C483,Legend!$A$10:$A$26,Legend!$C$10:$C$26,"NOT FOUND",0,1))</f>
        <v/>
      </c>
      <c r="F483" s="160" t="str">
        <f>IF(C483="","",_xlfn.XLOOKUP(D483,Legend!$A$29:$A$118,Legend!$B$29:$B$118,"NOT FOUND",0,1))</f>
        <v/>
      </c>
      <c r="G483" s="268" t="str">
        <f>IF(C483="","",_xlfn.XLOOKUP(D483,Legend!$A$29:$A$118,Legend!$C$29:$C$118,"NOT FOUND",0,1))</f>
        <v/>
      </c>
    </row>
    <row r="484" spans="1:7" x14ac:dyDescent="0.2">
      <c r="A484" s="3">
        <v>1</v>
      </c>
      <c r="C484" s="3" t="str">
        <f>IF(B484="","",IF(ISNUMBER(VALUE(_xlfn.TEXTBEFORE(B484," "))),_xlfn.XLOOKUP(VALUE(_xlfn.TEXTBEFORE(B484," ")),Legend!$B$11:$B$26,Legend!$A$11:$A$26,"NOT FOUND",0,1),_xlfn.TEXTBEFORE(B484," ")))</f>
        <v/>
      </c>
      <c r="D484" s="3" t="str">
        <f t="shared" si="7"/>
        <v/>
      </c>
      <c r="E484" s="159" t="str">
        <f>IF(C484="","",_xlfn.XLOOKUP(C484,Legend!$A$10:$A$26,Legend!$C$10:$C$26,"NOT FOUND",0,1))</f>
        <v/>
      </c>
      <c r="F484" s="160" t="str">
        <f>IF(C484="","",_xlfn.XLOOKUP(D484,Legend!$A$29:$A$118,Legend!$B$29:$B$118,"NOT FOUND",0,1))</f>
        <v/>
      </c>
      <c r="G484" s="268" t="str">
        <f>IF(C484="","",_xlfn.XLOOKUP(D484,Legend!$A$29:$A$118,Legend!$C$29:$C$118,"NOT FOUND",0,1))</f>
        <v/>
      </c>
    </row>
    <row r="485" spans="1:7" x14ac:dyDescent="0.2">
      <c r="A485" s="3">
        <v>1</v>
      </c>
      <c r="C485" s="3" t="str">
        <f>IF(B485="","",IF(ISNUMBER(VALUE(_xlfn.TEXTBEFORE(B485," "))),_xlfn.XLOOKUP(VALUE(_xlfn.TEXTBEFORE(B485," ")),Legend!$B$11:$B$26,Legend!$A$11:$A$26,"NOT FOUND",0,1),_xlfn.TEXTBEFORE(B485," ")))</f>
        <v/>
      </c>
      <c r="D485" s="3" t="str">
        <f t="shared" si="7"/>
        <v/>
      </c>
      <c r="E485" s="159" t="str">
        <f>IF(C485="","",_xlfn.XLOOKUP(C485,Legend!$A$10:$A$26,Legend!$C$10:$C$26,"NOT FOUND",0,1))</f>
        <v/>
      </c>
      <c r="F485" s="160" t="str">
        <f>IF(C485="","",_xlfn.XLOOKUP(D485,Legend!$A$29:$A$118,Legend!$B$29:$B$118,"NOT FOUND",0,1))</f>
        <v/>
      </c>
      <c r="G485" s="268" t="str">
        <f>IF(C485="","",_xlfn.XLOOKUP(D485,Legend!$A$29:$A$118,Legend!$C$29:$C$118,"NOT FOUND",0,1))</f>
        <v/>
      </c>
    </row>
    <row r="486" spans="1:7" x14ac:dyDescent="0.2">
      <c r="A486" s="3">
        <v>1</v>
      </c>
      <c r="C486" s="3" t="str">
        <f>IF(B486="","",IF(ISNUMBER(VALUE(_xlfn.TEXTBEFORE(B486," "))),_xlfn.XLOOKUP(VALUE(_xlfn.TEXTBEFORE(B486," ")),Legend!$B$11:$B$26,Legend!$A$11:$A$26,"NOT FOUND",0,1),_xlfn.TEXTBEFORE(B486," ")))</f>
        <v/>
      </c>
      <c r="D486" s="3" t="str">
        <f t="shared" si="7"/>
        <v/>
      </c>
      <c r="E486" s="159" t="str">
        <f>IF(C486="","",_xlfn.XLOOKUP(C486,Legend!$A$10:$A$26,Legend!$C$10:$C$26,"NOT FOUND",0,1))</f>
        <v/>
      </c>
      <c r="F486" s="160" t="str">
        <f>IF(C486="","",_xlfn.XLOOKUP(D486,Legend!$A$29:$A$118,Legend!$B$29:$B$118,"NOT FOUND",0,1))</f>
        <v/>
      </c>
      <c r="G486" s="268" t="str">
        <f>IF(C486="","",_xlfn.XLOOKUP(D486,Legend!$A$29:$A$118,Legend!$C$29:$C$118,"NOT FOUND",0,1))</f>
        <v/>
      </c>
    </row>
    <row r="487" spans="1:7" x14ac:dyDescent="0.2">
      <c r="A487" s="3">
        <v>1</v>
      </c>
      <c r="C487" s="3" t="str">
        <f>IF(B487="","",IF(ISNUMBER(VALUE(_xlfn.TEXTBEFORE(B487," "))),_xlfn.XLOOKUP(VALUE(_xlfn.TEXTBEFORE(B487," ")),Legend!$B$11:$B$26,Legend!$A$11:$A$26,"NOT FOUND",0,1),_xlfn.TEXTBEFORE(B487," ")))</f>
        <v/>
      </c>
      <c r="D487" s="3" t="str">
        <f t="shared" si="7"/>
        <v/>
      </c>
      <c r="E487" s="159" t="str">
        <f>IF(C487="","",_xlfn.XLOOKUP(C487,Legend!$A$10:$A$26,Legend!$C$10:$C$26,"NOT FOUND",0,1))</f>
        <v/>
      </c>
      <c r="F487" s="160" t="str">
        <f>IF(C487="","",_xlfn.XLOOKUP(D487,Legend!$A$29:$A$118,Legend!$B$29:$B$118,"NOT FOUND",0,1))</f>
        <v/>
      </c>
      <c r="G487" s="268" t="str">
        <f>IF(C487="","",_xlfn.XLOOKUP(D487,Legend!$A$29:$A$118,Legend!$C$29:$C$118,"NOT FOUND",0,1))</f>
        <v/>
      </c>
    </row>
    <row r="488" spans="1:7" x14ac:dyDescent="0.2">
      <c r="A488" s="3">
        <v>1</v>
      </c>
      <c r="C488" s="3" t="str">
        <f>IF(B488="","",IF(ISNUMBER(VALUE(_xlfn.TEXTBEFORE(B488," "))),_xlfn.XLOOKUP(VALUE(_xlfn.TEXTBEFORE(B488," ")),Legend!$B$11:$B$26,Legend!$A$11:$A$26,"NOT FOUND",0,1),_xlfn.TEXTBEFORE(B488," ")))</f>
        <v/>
      </c>
      <c r="D488" s="3" t="str">
        <f t="shared" si="7"/>
        <v/>
      </c>
      <c r="E488" s="159" t="str">
        <f>IF(C488="","",_xlfn.XLOOKUP(C488,Legend!$A$10:$A$26,Legend!$C$10:$C$26,"NOT FOUND",0,1))</f>
        <v/>
      </c>
      <c r="F488" s="160" t="str">
        <f>IF(C488="","",_xlfn.XLOOKUP(D488,Legend!$A$29:$A$118,Legend!$B$29:$B$118,"NOT FOUND",0,1))</f>
        <v/>
      </c>
      <c r="G488" s="268" t="str">
        <f>IF(C488="","",_xlfn.XLOOKUP(D488,Legend!$A$29:$A$118,Legend!$C$29:$C$118,"NOT FOUND",0,1))</f>
        <v/>
      </c>
    </row>
    <row r="489" spans="1:7" x14ac:dyDescent="0.2">
      <c r="A489" s="3">
        <v>1</v>
      </c>
      <c r="C489" s="3" t="str">
        <f>IF(B489="","",IF(ISNUMBER(VALUE(_xlfn.TEXTBEFORE(B489," "))),_xlfn.XLOOKUP(VALUE(_xlfn.TEXTBEFORE(B489," ")),Legend!$B$11:$B$26,Legend!$A$11:$A$26,"NOT FOUND",0,1),_xlfn.TEXTBEFORE(B489," ")))</f>
        <v/>
      </c>
      <c r="D489" s="3" t="str">
        <f t="shared" si="7"/>
        <v/>
      </c>
      <c r="E489" s="159" t="str">
        <f>IF(C489="","",_xlfn.XLOOKUP(C489,Legend!$A$10:$A$26,Legend!$C$10:$C$26,"NOT FOUND",0,1))</f>
        <v/>
      </c>
      <c r="F489" s="160" t="str">
        <f>IF(C489="","",_xlfn.XLOOKUP(D489,Legend!$A$29:$A$118,Legend!$B$29:$B$118,"NOT FOUND",0,1))</f>
        <v/>
      </c>
      <c r="G489" s="268" t="str">
        <f>IF(C489="","",_xlfn.XLOOKUP(D489,Legend!$A$29:$A$118,Legend!$C$29:$C$118,"NOT FOUND",0,1))</f>
        <v/>
      </c>
    </row>
    <row r="490" spans="1:7" x14ac:dyDescent="0.2">
      <c r="A490" s="3">
        <v>1</v>
      </c>
      <c r="C490" s="3" t="str">
        <f>IF(B490="","",IF(ISNUMBER(VALUE(_xlfn.TEXTBEFORE(B490," "))),_xlfn.XLOOKUP(VALUE(_xlfn.TEXTBEFORE(B490," ")),Legend!$B$11:$B$26,Legend!$A$11:$A$26,"NOT FOUND",0,1),_xlfn.TEXTBEFORE(B490," ")))</f>
        <v/>
      </c>
      <c r="D490" s="3" t="str">
        <f t="shared" si="7"/>
        <v/>
      </c>
      <c r="E490" s="159" t="str">
        <f>IF(C490="","",_xlfn.XLOOKUP(C490,Legend!$A$10:$A$26,Legend!$C$10:$C$26,"NOT FOUND",0,1))</f>
        <v/>
      </c>
      <c r="F490" s="160" t="str">
        <f>IF(C490="","",_xlfn.XLOOKUP(D490,Legend!$A$29:$A$118,Legend!$B$29:$B$118,"NOT FOUND",0,1))</f>
        <v/>
      </c>
      <c r="G490" s="268" t="str">
        <f>IF(C490="","",_xlfn.XLOOKUP(D490,Legend!$A$29:$A$118,Legend!$C$29:$C$118,"NOT FOUND",0,1))</f>
        <v/>
      </c>
    </row>
    <row r="491" spans="1:7" x14ac:dyDescent="0.2">
      <c r="A491" s="3">
        <v>1</v>
      </c>
      <c r="C491" s="3" t="str">
        <f>IF(B491="","",IF(ISNUMBER(VALUE(_xlfn.TEXTBEFORE(B491," "))),_xlfn.XLOOKUP(VALUE(_xlfn.TEXTBEFORE(B491," ")),Legend!$B$11:$B$26,Legend!$A$11:$A$26,"NOT FOUND",0,1),_xlfn.TEXTBEFORE(B491," ")))</f>
        <v/>
      </c>
      <c r="D491" s="3" t="str">
        <f t="shared" si="7"/>
        <v/>
      </c>
      <c r="E491" s="159" t="str">
        <f>IF(C491="","",_xlfn.XLOOKUP(C491,Legend!$A$10:$A$26,Legend!$C$10:$C$26,"NOT FOUND",0,1))</f>
        <v/>
      </c>
      <c r="F491" s="160" t="str">
        <f>IF(C491="","",_xlfn.XLOOKUP(D491,Legend!$A$29:$A$118,Legend!$B$29:$B$118,"NOT FOUND",0,1))</f>
        <v/>
      </c>
      <c r="G491" s="268" t="str">
        <f>IF(C491="","",_xlfn.XLOOKUP(D491,Legend!$A$29:$A$118,Legend!$C$29:$C$118,"NOT FOUND",0,1))</f>
        <v/>
      </c>
    </row>
    <row r="492" spans="1:7" x14ac:dyDescent="0.2">
      <c r="A492" s="3">
        <v>1</v>
      </c>
      <c r="C492" s="3" t="str">
        <f>IF(B492="","",IF(ISNUMBER(VALUE(_xlfn.TEXTBEFORE(B492," "))),_xlfn.XLOOKUP(VALUE(_xlfn.TEXTBEFORE(B492," ")),Legend!$B$11:$B$26,Legend!$A$11:$A$26,"NOT FOUND",0,1),_xlfn.TEXTBEFORE(B492," ")))</f>
        <v/>
      </c>
      <c r="D492" s="3" t="str">
        <f t="shared" si="7"/>
        <v/>
      </c>
      <c r="E492" s="159" t="str">
        <f>IF(C492="","",_xlfn.XLOOKUP(C492,Legend!$A$10:$A$26,Legend!$C$10:$C$26,"NOT FOUND",0,1))</f>
        <v/>
      </c>
      <c r="F492" s="160" t="str">
        <f>IF(C492="","",_xlfn.XLOOKUP(D492,Legend!$A$29:$A$118,Legend!$B$29:$B$118,"NOT FOUND",0,1))</f>
        <v/>
      </c>
      <c r="G492" s="268" t="str">
        <f>IF(C492="","",_xlfn.XLOOKUP(D492,Legend!$A$29:$A$118,Legend!$C$29:$C$118,"NOT FOUND",0,1))</f>
        <v/>
      </c>
    </row>
    <row r="493" spans="1:7" x14ac:dyDescent="0.2">
      <c r="A493" s="3">
        <v>1</v>
      </c>
      <c r="C493" s="3" t="str">
        <f>IF(B493="","",IF(ISNUMBER(VALUE(_xlfn.TEXTBEFORE(B493," "))),_xlfn.XLOOKUP(VALUE(_xlfn.TEXTBEFORE(B493," ")),Legend!$B$11:$B$26,Legend!$A$11:$A$26,"NOT FOUND",0,1),_xlfn.TEXTBEFORE(B493," ")))</f>
        <v/>
      </c>
      <c r="D493" s="3" t="str">
        <f t="shared" si="7"/>
        <v/>
      </c>
      <c r="E493" s="159" t="str">
        <f>IF(C493="","",_xlfn.XLOOKUP(C493,Legend!$A$10:$A$26,Legend!$C$10:$C$26,"NOT FOUND",0,1))</f>
        <v/>
      </c>
      <c r="F493" s="160" t="str">
        <f>IF(C493="","",_xlfn.XLOOKUP(D493,Legend!$A$29:$A$118,Legend!$B$29:$B$118,"NOT FOUND",0,1))</f>
        <v/>
      </c>
      <c r="G493" s="268" t="str">
        <f>IF(C493="","",_xlfn.XLOOKUP(D493,Legend!$A$29:$A$118,Legend!$C$29:$C$118,"NOT FOUND",0,1))</f>
        <v/>
      </c>
    </row>
    <row r="494" spans="1:7" x14ac:dyDescent="0.2">
      <c r="A494" s="3">
        <v>1</v>
      </c>
      <c r="C494" s="3" t="str">
        <f>IF(B494="","",IF(ISNUMBER(VALUE(_xlfn.TEXTBEFORE(B494," "))),_xlfn.XLOOKUP(VALUE(_xlfn.TEXTBEFORE(B494," ")),Legend!$B$11:$B$26,Legend!$A$11:$A$26,"NOT FOUND",0,1),_xlfn.TEXTBEFORE(B494," ")))</f>
        <v/>
      </c>
      <c r="D494" s="3" t="str">
        <f t="shared" si="7"/>
        <v/>
      </c>
      <c r="E494" s="159" t="str">
        <f>IF(C494="","",_xlfn.XLOOKUP(C494,Legend!$A$10:$A$26,Legend!$C$10:$C$26,"NOT FOUND",0,1))</f>
        <v/>
      </c>
      <c r="F494" s="160" t="str">
        <f>IF(C494="","",_xlfn.XLOOKUP(D494,Legend!$A$29:$A$118,Legend!$B$29:$B$118,"NOT FOUND",0,1))</f>
        <v/>
      </c>
      <c r="G494" s="268" t="str">
        <f>IF(C494="","",_xlfn.XLOOKUP(D494,Legend!$A$29:$A$118,Legend!$C$29:$C$118,"NOT FOUND",0,1))</f>
        <v/>
      </c>
    </row>
    <row r="495" spans="1:7" x14ac:dyDescent="0.2">
      <c r="A495" s="3">
        <v>1</v>
      </c>
      <c r="C495" s="3" t="str">
        <f>IF(B495="","",IF(ISNUMBER(VALUE(_xlfn.TEXTBEFORE(B495," "))),_xlfn.XLOOKUP(VALUE(_xlfn.TEXTBEFORE(B495," ")),Legend!$B$11:$B$26,Legend!$A$11:$A$26,"NOT FOUND",0,1),_xlfn.TEXTBEFORE(B495," ")))</f>
        <v/>
      </c>
      <c r="D495" s="3" t="str">
        <f t="shared" si="7"/>
        <v/>
      </c>
      <c r="E495" s="159" t="str">
        <f>IF(C495="","",_xlfn.XLOOKUP(C495,Legend!$A$10:$A$26,Legend!$C$10:$C$26,"NOT FOUND",0,1))</f>
        <v/>
      </c>
      <c r="F495" s="160" t="str">
        <f>IF(C495="","",_xlfn.XLOOKUP(D495,Legend!$A$29:$A$118,Legend!$B$29:$B$118,"NOT FOUND",0,1))</f>
        <v/>
      </c>
      <c r="G495" s="268" t="str">
        <f>IF(C495="","",_xlfn.XLOOKUP(D495,Legend!$A$29:$A$118,Legend!$C$29:$C$118,"NOT FOUND",0,1))</f>
        <v/>
      </c>
    </row>
    <row r="496" spans="1:7" x14ac:dyDescent="0.2">
      <c r="A496" s="3">
        <v>1</v>
      </c>
      <c r="C496" s="3" t="str">
        <f>IF(B496="","",IF(ISNUMBER(VALUE(_xlfn.TEXTBEFORE(B496," "))),_xlfn.XLOOKUP(VALUE(_xlfn.TEXTBEFORE(B496," ")),Legend!$B$11:$B$26,Legend!$A$11:$A$26,"NOT FOUND",0,1),_xlfn.TEXTBEFORE(B496," ")))</f>
        <v/>
      </c>
      <c r="D496" s="3" t="str">
        <f t="shared" si="7"/>
        <v/>
      </c>
      <c r="E496" s="159" t="str">
        <f>IF(C496="","",_xlfn.XLOOKUP(C496,Legend!$A$10:$A$26,Legend!$C$10:$C$26,"NOT FOUND",0,1))</f>
        <v/>
      </c>
      <c r="F496" s="160" t="str">
        <f>IF(C496="","",_xlfn.XLOOKUP(D496,Legend!$A$29:$A$118,Legend!$B$29:$B$118,"NOT FOUND",0,1))</f>
        <v/>
      </c>
      <c r="G496" s="268" t="str">
        <f>IF(C496="","",_xlfn.XLOOKUP(D496,Legend!$A$29:$A$118,Legend!$C$29:$C$118,"NOT FOUND",0,1))</f>
        <v/>
      </c>
    </row>
    <row r="497" spans="1:7" x14ac:dyDescent="0.2">
      <c r="A497" s="3">
        <v>1</v>
      </c>
      <c r="C497" s="3" t="str">
        <f>IF(B497="","",IF(ISNUMBER(VALUE(_xlfn.TEXTBEFORE(B497," "))),_xlfn.XLOOKUP(VALUE(_xlfn.TEXTBEFORE(B497," ")),Legend!$B$11:$B$26,Legend!$A$11:$A$26,"NOT FOUND",0,1),_xlfn.TEXTBEFORE(B497," ")))</f>
        <v/>
      </c>
      <c r="D497" s="3" t="str">
        <f t="shared" si="7"/>
        <v/>
      </c>
      <c r="E497" s="159" t="str">
        <f>IF(C497="","",_xlfn.XLOOKUP(C497,Legend!$A$10:$A$26,Legend!$C$10:$C$26,"NOT FOUND",0,1))</f>
        <v/>
      </c>
      <c r="F497" s="160" t="str">
        <f>IF(C497="","",_xlfn.XLOOKUP(D497,Legend!$A$29:$A$118,Legend!$B$29:$B$118,"NOT FOUND",0,1))</f>
        <v/>
      </c>
      <c r="G497" s="268" t="str">
        <f>IF(C497="","",_xlfn.XLOOKUP(D497,Legend!$A$29:$A$118,Legend!$C$29:$C$118,"NOT FOUND",0,1))</f>
        <v/>
      </c>
    </row>
    <row r="498" spans="1:7" x14ac:dyDescent="0.2">
      <c r="A498" s="3">
        <v>1</v>
      </c>
      <c r="C498" s="3" t="str">
        <f>IF(B498="","",IF(ISNUMBER(VALUE(_xlfn.TEXTBEFORE(B498," "))),_xlfn.XLOOKUP(VALUE(_xlfn.TEXTBEFORE(B498," ")),Legend!$B$11:$B$26,Legend!$A$11:$A$26,"NOT FOUND",0,1),_xlfn.TEXTBEFORE(B498," ")))</f>
        <v/>
      </c>
      <c r="D498" s="3" t="str">
        <f t="shared" si="7"/>
        <v/>
      </c>
      <c r="E498" s="159" t="str">
        <f>IF(C498="","",_xlfn.XLOOKUP(C498,Legend!$A$10:$A$26,Legend!$C$10:$C$26,"NOT FOUND",0,1))</f>
        <v/>
      </c>
      <c r="F498" s="160" t="str">
        <f>IF(C498="","",_xlfn.XLOOKUP(D498,Legend!$A$29:$A$118,Legend!$B$29:$B$118,"NOT FOUND",0,1))</f>
        <v/>
      </c>
      <c r="G498" s="268" t="str">
        <f>IF(C498="","",_xlfn.XLOOKUP(D498,Legend!$A$29:$A$118,Legend!$C$29:$C$118,"NOT FOUND",0,1))</f>
        <v/>
      </c>
    </row>
    <row r="499" spans="1:7" x14ac:dyDescent="0.2">
      <c r="A499" s="3">
        <v>1</v>
      </c>
      <c r="C499" s="3" t="str">
        <f>IF(B499="","",IF(ISNUMBER(VALUE(_xlfn.TEXTBEFORE(B499," "))),_xlfn.XLOOKUP(VALUE(_xlfn.TEXTBEFORE(B499," ")),Legend!$B$11:$B$26,Legend!$A$11:$A$26,"NOT FOUND",0,1),_xlfn.TEXTBEFORE(B499," ")))</f>
        <v/>
      </c>
      <c r="D499" s="3" t="str">
        <f t="shared" si="7"/>
        <v/>
      </c>
      <c r="E499" s="159" t="str">
        <f>IF(C499="","",_xlfn.XLOOKUP(C499,Legend!$A$10:$A$26,Legend!$C$10:$C$26,"NOT FOUND",0,1))</f>
        <v/>
      </c>
      <c r="F499" s="160" t="str">
        <f>IF(C499="","",_xlfn.XLOOKUP(D499,Legend!$A$29:$A$118,Legend!$B$29:$B$118,"NOT FOUND",0,1))</f>
        <v/>
      </c>
      <c r="G499" s="268" t="str">
        <f>IF(C499="","",_xlfn.XLOOKUP(D499,Legend!$A$29:$A$118,Legend!$C$29:$C$118,"NOT FOUND",0,1))</f>
        <v/>
      </c>
    </row>
    <row r="500" spans="1:7" x14ac:dyDescent="0.2">
      <c r="A500" s="3">
        <v>1</v>
      </c>
      <c r="C500" s="3" t="str">
        <f>IF(B500="","",IF(ISNUMBER(VALUE(_xlfn.TEXTBEFORE(B500," "))),_xlfn.XLOOKUP(VALUE(_xlfn.TEXTBEFORE(B500," ")),Legend!$B$11:$B$26,Legend!$A$11:$A$26,"NOT FOUND",0,1),_xlfn.TEXTBEFORE(B500," ")))</f>
        <v/>
      </c>
      <c r="D500" s="3" t="str">
        <f t="shared" si="7"/>
        <v/>
      </c>
      <c r="E500" s="159" t="str">
        <f>IF(C500="","",_xlfn.XLOOKUP(C500,Legend!$A$10:$A$26,Legend!$C$10:$C$26,"NOT FOUND",0,1))</f>
        <v/>
      </c>
      <c r="F500" s="160" t="str">
        <f>IF(C500="","",_xlfn.XLOOKUP(D500,Legend!$A$29:$A$118,Legend!$B$29:$B$118,"NOT FOUND",0,1))</f>
        <v/>
      </c>
      <c r="G500" s="268" t="str">
        <f>IF(C500="","",_xlfn.XLOOKUP(D500,Legend!$A$29:$A$118,Legend!$C$29:$C$118,"NOT FOUND",0,1))</f>
        <v/>
      </c>
    </row>
    <row r="501" spans="1:7" x14ac:dyDescent="0.2">
      <c r="A501" s="3">
        <v>1</v>
      </c>
      <c r="C501" s="3" t="str">
        <f>IF(B501="","",IF(ISNUMBER(VALUE(_xlfn.TEXTBEFORE(B501," "))),_xlfn.XLOOKUP(VALUE(_xlfn.TEXTBEFORE(B501," ")),Legend!$B$11:$B$26,Legend!$A$11:$A$26,"NOT FOUND",0,1),_xlfn.TEXTBEFORE(B501," ")))</f>
        <v/>
      </c>
      <c r="D501" s="3" t="str">
        <f t="shared" si="7"/>
        <v/>
      </c>
      <c r="E501" s="159" t="str">
        <f>IF(C501="","",_xlfn.XLOOKUP(C501,Legend!$A$10:$A$26,Legend!$C$10:$C$26,"NOT FOUND",0,1))</f>
        <v/>
      </c>
      <c r="F501" s="160" t="str">
        <f>IF(C501="","",_xlfn.XLOOKUP(D501,Legend!$A$29:$A$118,Legend!$B$29:$B$118,"NOT FOUND",0,1))</f>
        <v/>
      </c>
      <c r="G501" s="268" t="str">
        <f>IF(C501="","",_xlfn.XLOOKUP(D501,Legend!$A$29:$A$118,Legend!$C$29:$C$118,"NOT FOUND",0,1))</f>
        <v/>
      </c>
    </row>
    <row r="502" spans="1:7" x14ac:dyDescent="0.2">
      <c r="A502" s="3">
        <v>1</v>
      </c>
      <c r="C502" s="3" t="str">
        <f>IF(B502="","",IF(ISNUMBER(VALUE(_xlfn.TEXTBEFORE(B502," "))),_xlfn.XLOOKUP(VALUE(_xlfn.TEXTBEFORE(B502," ")),Legend!$B$11:$B$26,Legend!$A$11:$A$26,"NOT FOUND",0,1),_xlfn.TEXTBEFORE(B502," ")))</f>
        <v/>
      </c>
      <c r="D502" s="3" t="str">
        <f t="shared" si="7"/>
        <v/>
      </c>
      <c r="E502" s="159" t="str">
        <f>IF(C502="","",_xlfn.XLOOKUP(C502,Legend!$A$10:$A$26,Legend!$C$10:$C$26,"NOT FOUND",0,1))</f>
        <v/>
      </c>
      <c r="F502" s="160" t="str">
        <f>IF(C502="","",_xlfn.XLOOKUP(D502,Legend!$A$29:$A$118,Legend!$B$29:$B$118,"NOT FOUND",0,1))</f>
        <v/>
      </c>
      <c r="G502" s="268" t="str">
        <f>IF(C502="","",_xlfn.XLOOKUP(D502,Legend!$A$29:$A$118,Legend!$C$29:$C$118,"NOT FOUND",0,1))</f>
        <v/>
      </c>
    </row>
    <row r="503" spans="1:7" x14ac:dyDescent="0.2">
      <c r="A503" s="3">
        <v>1</v>
      </c>
      <c r="C503" s="3" t="str">
        <f>IF(B503="","",IF(ISNUMBER(VALUE(_xlfn.TEXTBEFORE(B503," "))),_xlfn.XLOOKUP(VALUE(_xlfn.TEXTBEFORE(B503," ")),Legend!$B$11:$B$26,Legend!$A$11:$A$26,"NOT FOUND",0,1),_xlfn.TEXTBEFORE(B503," ")))</f>
        <v/>
      </c>
      <c r="D503" s="3" t="str">
        <f t="shared" si="7"/>
        <v/>
      </c>
      <c r="E503" s="159" t="str">
        <f>IF(C503="","",_xlfn.XLOOKUP(C503,Legend!$A$10:$A$26,Legend!$C$10:$C$26,"NOT FOUND",0,1))</f>
        <v/>
      </c>
      <c r="F503" s="160" t="str">
        <f>IF(C503="","",_xlfn.XLOOKUP(D503,Legend!$A$29:$A$118,Legend!$B$29:$B$118,"NOT FOUND",0,1))</f>
        <v/>
      </c>
      <c r="G503" s="268" t="str">
        <f>IF(C503="","",_xlfn.XLOOKUP(D503,Legend!$A$29:$A$118,Legend!$C$29:$C$118,"NOT FOUND",0,1))</f>
        <v/>
      </c>
    </row>
    <row r="504" spans="1:7" x14ac:dyDescent="0.2">
      <c r="A504" s="3">
        <v>1</v>
      </c>
      <c r="C504" s="3" t="str">
        <f>IF(B504="","",IF(ISNUMBER(VALUE(_xlfn.TEXTBEFORE(B504," "))),_xlfn.XLOOKUP(VALUE(_xlfn.TEXTBEFORE(B504," ")),Legend!$B$11:$B$26,Legend!$A$11:$A$26,"NOT FOUND",0,1),_xlfn.TEXTBEFORE(B504," ")))</f>
        <v/>
      </c>
      <c r="D504" s="3" t="str">
        <f t="shared" si="7"/>
        <v/>
      </c>
      <c r="E504" s="159" t="str">
        <f>IF(C504="","",_xlfn.XLOOKUP(C504,Legend!$A$10:$A$26,Legend!$C$10:$C$26,"NOT FOUND",0,1))</f>
        <v/>
      </c>
      <c r="F504" s="160" t="str">
        <f>IF(C504="","",_xlfn.XLOOKUP(D504,Legend!$A$29:$A$118,Legend!$B$29:$B$118,"NOT FOUND",0,1))</f>
        <v/>
      </c>
      <c r="G504" s="268" t="str">
        <f>IF(C504="","",_xlfn.XLOOKUP(D504,Legend!$A$29:$A$118,Legend!$C$29:$C$118,"NOT FOUND",0,1))</f>
        <v/>
      </c>
    </row>
    <row r="505" spans="1:7" x14ac:dyDescent="0.2">
      <c r="A505" s="3">
        <v>1</v>
      </c>
      <c r="C505" s="3" t="str">
        <f>IF(B505="","",IF(ISNUMBER(VALUE(_xlfn.TEXTBEFORE(B505," "))),_xlfn.XLOOKUP(VALUE(_xlfn.TEXTBEFORE(B505," ")),Legend!$B$11:$B$26,Legend!$A$11:$A$26,"NOT FOUND",0,1),_xlfn.TEXTBEFORE(B505," ")))</f>
        <v/>
      </c>
      <c r="D505" s="3" t="str">
        <f t="shared" si="7"/>
        <v/>
      </c>
      <c r="E505" s="159" t="str">
        <f>IF(C505="","",_xlfn.XLOOKUP(C505,Legend!$A$10:$A$26,Legend!$C$10:$C$26,"NOT FOUND",0,1))</f>
        <v/>
      </c>
      <c r="F505" s="160" t="str">
        <f>IF(C505="","",_xlfn.XLOOKUP(D505,Legend!$A$29:$A$118,Legend!$B$29:$B$118,"NOT FOUND",0,1))</f>
        <v/>
      </c>
      <c r="G505" s="268" t="str">
        <f>IF(C505="","",_xlfn.XLOOKUP(D505,Legend!$A$29:$A$118,Legend!$C$29:$C$118,"NOT FOUND",0,1))</f>
        <v/>
      </c>
    </row>
    <row r="506" spans="1:7" x14ac:dyDescent="0.2">
      <c r="A506" s="3">
        <v>1</v>
      </c>
      <c r="C506" s="3" t="str">
        <f>IF(B506="","",IF(ISNUMBER(VALUE(_xlfn.TEXTBEFORE(B506," "))),_xlfn.XLOOKUP(VALUE(_xlfn.TEXTBEFORE(B506," ")),Legend!$B$11:$B$26,Legend!$A$11:$A$26,"NOT FOUND",0,1),_xlfn.TEXTBEFORE(B506," ")))</f>
        <v/>
      </c>
      <c r="D506" s="3" t="str">
        <f t="shared" si="7"/>
        <v/>
      </c>
      <c r="E506" s="159" t="str">
        <f>IF(C506="","",_xlfn.XLOOKUP(C506,Legend!$A$10:$A$26,Legend!$C$10:$C$26,"NOT FOUND",0,1))</f>
        <v/>
      </c>
      <c r="F506" s="160" t="str">
        <f>IF(C506="","",_xlfn.XLOOKUP(D506,Legend!$A$29:$A$118,Legend!$B$29:$B$118,"NOT FOUND",0,1))</f>
        <v/>
      </c>
      <c r="G506" s="268" t="str">
        <f>IF(C506="","",_xlfn.XLOOKUP(D506,Legend!$A$29:$A$118,Legend!$C$29:$C$118,"NOT FOUND",0,1))</f>
        <v/>
      </c>
    </row>
    <row r="507" spans="1:7" x14ac:dyDescent="0.2">
      <c r="A507" s="3">
        <v>1</v>
      </c>
      <c r="C507" s="3" t="str">
        <f>IF(B507="","",IF(ISNUMBER(VALUE(_xlfn.TEXTBEFORE(B507," "))),_xlfn.XLOOKUP(VALUE(_xlfn.TEXTBEFORE(B507," ")),Legend!$B$11:$B$26,Legend!$A$11:$A$26,"NOT FOUND",0,1),_xlfn.TEXTBEFORE(B507," ")))</f>
        <v/>
      </c>
      <c r="D507" s="3" t="str">
        <f t="shared" ref="D507:D570" si="8">IF(B507="","",_xlfn.TEXTAFTER(B507," "))</f>
        <v/>
      </c>
      <c r="E507" s="159" t="str">
        <f>IF(C507="","",_xlfn.XLOOKUP(C507,Legend!$A$10:$A$26,Legend!$C$10:$C$26,"NOT FOUND",0,1))</f>
        <v/>
      </c>
      <c r="F507" s="160" t="str">
        <f>IF(C507="","",_xlfn.XLOOKUP(D507,Legend!$A$29:$A$118,Legend!$B$29:$B$118,"NOT FOUND",0,1))</f>
        <v/>
      </c>
      <c r="G507" s="268" t="str">
        <f>IF(C507="","",_xlfn.XLOOKUP(D507,Legend!$A$29:$A$118,Legend!$C$29:$C$118,"NOT FOUND",0,1))</f>
        <v/>
      </c>
    </row>
    <row r="508" spans="1:7" x14ac:dyDescent="0.2">
      <c r="A508" s="3">
        <v>1</v>
      </c>
      <c r="C508" s="3" t="str">
        <f>IF(B508="","",IF(ISNUMBER(VALUE(_xlfn.TEXTBEFORE(B508," "))),_xlfn.XLOOKUP(VALUE(_xlfn.TEXTBEFORE(B508," ")),Legend!$B$11:$B$26,Legend!$A$11:$A$26,"NOT FOUND",0,1),_xlfn.TEXTBEFORE(B508," ")))</f>
        <v/>
      </c>
      <c r="D508" s="3" t="str">
        <f t="shared" si="8"/>
        <v/>
      </c>
      <c r="E508" s="159" t="str">
        <f>IF(C508="","",_xlfn.XLOOKUP(C508,Legend!$A$10:$A$26,Legend!$C$10:$C$26,"NOT FOUND",0,1))</f>
        <v/>
      </c>
      <c r="F508" s="160" t="str">
        <f>IF(C508="","",_xlfn.XLOOKUP(D508,Legend!$A$29:$A$118,Legend!$B$29:$B$118,"NOT FOUND",0,1))</f>
        <v/>
      </c>
      <c r="G508" s="268" t="str">
        <f>IF(C508="","",_xlfn.XLOOKUP(D508,Legend!$A$29:$A$118,Legend!$C$29:$C$118,"NOT FOUND",0,1))</f>
        <v/>
      </c>
    </row>
    <row r="509" spans="1:7" x14ac:dyDescent="0.2">
      <c r="A509" s="3">
        <v>1</v>
      </c>
      <c r="C509" s="3" t="str">
        <f>IF(B509="","",IF(ISNUMBER(VALUE(_xlfn.TEXTBEFORE(B509," "))),_xlfn.XLOOKUP(VALUE(_xlfn.TEXTBEFORE(B509," ")),Legend!$B$11:$B$26,Legend!$A$11:$A$26,"NOT FOUND",0,1),_xlfn.TEXTBEFORE(B509," ")))</f>
        <v/>
      </c>
      <c r="D509" s="3" t="str">
        <f t="shared" si="8"/>
        <v/>
      </c>
      <c r="E509" s="159" t="str">
        <f>IF(C509="","",_xlfn.XLOOKUP(C509,Legend!$A$10:$A$26,Legend!$C$10:$C$26,"NOT FOUND",0,1))</f>
        <v/>
      </c>
      <c r="F509" s="160" t="str">
        <f>IF(C509="","",_xlfn.XLOOKUP(D509,Legend!$A$29:$A$118,Legend!$B$29:$B$118,"NOT FOUND",0,1))</f>
        <v/>
      </c>
      <c r="G509" s="268" t="str">
        <f>IF(C509="","",_xlfn.XLOOKUP(D509,Legend!$A$29:$A$118,Legend!$C$29:$C$118,"NOT FOUND",0,1))</f>
        <v/>
      </c>
    </row>
    <row r="510" spans="1:7" x14ac:dyDescent="0.2">
      <c r="A510" s="3">
        <v>1</v>
      </c>
      <c r="C510" s="3" t="str">
        <f>IF(B510="","",IF(ISNUMBER(VALUE(_xlfn.TEXTBEFORE(B510," "))),_xlfn.XLOOKUP(VALUE(_xlfn.TEXTBEFORE(B510," ")),Legend!$B$11:$B$26,Legend!$A$11:$A$26,"NOT FOUND",0,1),_xlfn.TEXTBEFORE(B510," ")))</f>
        <v/>
      </c>
      <c r="D510" s="3" t="str">
        <f t="shared" si="8"/>
        <v/>
      </c>
      <c r="E510" s="159" t="str">
        <f>IF(C510="","",_xlfn.XLOOKUP(C510,Legend!$A$10:$A$26,Legend!$C$10:$C$26,"NOT FOUND",0,1))</f>
        <v/>
      </c>
      <c r="F510" s="160" t="str">
        <f>IF(C510="","",_xlfn.XLOOKUP(D510,Legend!$A$29:$A$118,Legend!$B$29:$B$118,"NOT FOUND",0,1))</f>
        <v/>
      </c>
      <c r="G510" s="268" t="str">
        <f>IF(C510="","",_xlfn.XLOOKUP(D510,Legend!$A$29:$A$118,Legend!$C$29:$C$118,"NOT FOUND",0,1))</f>
        <v/>
      </c>
    </row>
    <row r="511" spans="1:7" x14ac:dyDescent="0.2">
      <c r="A511" s="3">
        <v>1</v>
      </c>
      <c r="C511" s="3" t="str">
        <f>IF(B511="","",IF(ISNUMBER(VALUE(_xlfn.TEXTBEFORE(B511," "))),_xlfn.XLOOKUP(VALUE(_xlfn.TEXTBEFORE(B511," ")),Legend!$B$11:$B$26,Legend!$A$11:$A$26,"NOT FOUND",0,1),_xlfn.TEXTBEFORE(B511," ")))</f>
        <v/>
      </c>
      <c r="D511" s="3" t="str">
        <f t="shared" si="8"/>
        <v/>
      </c>
      <c r="E511" s="159" t="str">
        <f>IF(C511="","",_xlfn.XLOOKUP(C511,Legend!$A$10:$A$26,Legend!$C$10:$C$26,"NOT FOUND",0,1))</f>
        <v/>
      </c>
      <c r="F511" s="160" t="str">
        <f>IF(C511="","",_xlfn.XLOOKUP(D511,Legend!$A$29:$A$118,Legend!$B$29:$B$118,"NOT FOUND",0,1))</f>
        <v/>
      </c>
      <c r="G511" s="268" t="str">
        <f>IF(C511="","",_xlfn.XLOOKUP(D511,Legend!$A$29:$A$118,Legend!$C$29:$C$118,"NOT FOUND",0,1))</f>
        <v/>
      </c>
    </row>
    <row r="512" spans="1:7" x14ac:dyDescent="0.2">
      <c r="A512" s="3">
        <v>1</v>
      </c>
      <c r="C512" s="3" t="str">
        <f>IF(B512="","",IF(ISNUMBER(VALUE(_xlfn.TEXTBEFORE(B512," "))),_xlfn.XLOOKUP(VALUE(_xlfn.TEXTBEFORE(B512," ")),Legend!$B$11:$B$26,Legend!$A$11:$A$26,"NOT FOUND",0,1),_xlfn.TEXTBEFORE(B512," ")))</f>
        <v/>
      </c>
      <c r="D512" s="3" t="str">
        <f t="shared" si="8"/>
        <v/>
      </c>
      <c r="E512" s="159" t="str">
        <f>IF(C512="","",_xlfn.XLOOKUP(C512,Legend!$A$10:$A$26,Legend!$C$10:$C$26,"NOT FOUND",0,1))</f>
        <v/>
      </c>
      <c r="F512" s="160" t="str">
        <f>IF(C512="","",_xlfn.XLOOKUP(D512,Legend!$A$29:$A$118,Legend!$B$29:$B$118,"NOT FOUND",0,1))</f>
        <v/>
      </c>
      <c r="G512" s="268" t="str">
        <f>IF(C512="","",_xlfn.XLOOKUP(D512,Legend!$A$29:$A$118,Legend!$C$29:$C$118,"NOT FOUND",0,1))</f>
        <v/>
      </c>
    </row>
    <row r="513" spans="1:7" x14ac:dyDescent="0.2">
      <c r="A513" s="3">
        <v>1</v>
      </c>
      <c r="C513" s="3" t="str">
        <f>IF(B513="","",IF(ISNUMBER(VALUE(_xlfn.TEXTBEFORE(B513," "))),_xlfn.XLOOKUP(VALUE(_xlfn.TEXTBEFORE(B513," ")),Legend!$B$11:$B$26,Legend!$A$11:$A$26,"NOT FOUND",0,1),_xlfn.TEXTBEFORE(B513," ")))</f>
        <v/>
      </c>
      <c r="D513" s="3" t="str">
        <f t="shared" si="8"/>
        <v/>
      </c>
      <c r="E513" s="159" t="str">
        <f>IF(C513="","",_xlfn.XLOOKUP(C513,Legend!$A$10:$A$26,Legend!$C$10:$C$26,"NOT FOUND",0,1))</f>
        <v/>
      </c>
      <c r="F513" s="160" t="str">
        <f>IF(C513="","",_xlfn.XLOOKUP(D513,Legend!$A$29:$A$118,Legend!$B$29:$B$118,"NOT FOUND",0,1))</f>
        <v/>
      </c>
      <c r="G513" s="268" t="str">
        <f>IF(C513="","",_xlfn.XLOOKUP(D513,Legend!$A$29:$A$118,Legend!$C$29:$C$118,"NOT FOUND",0,1))</f>
        <v/>
      </c>
    </row>
    <row r="514" spans="1:7" x14ac:dyDescent="0.2">
      <c r="A514" s="3">
        <v>1</v>
      </c>
      <c r="C514" s="3" t="str">
        <f>IF(B514="","",IF(ISNUMBER(VALUE(_xlfn.TEXTBEFORE(B514," "))),_xlfn.XLOOKUP(VALUE(_xlfn.TEXTBEFORE(B514," ")),Legend!$B$11:$B$26,Legend!$A$11:$A$26,"NOT FOUND",0,1),_xlfn.TEXTBEFORE(B514," ")))</f>
        <v/>
      </c>
      <c r="D514" s="3" t="str">
        <f t="shared" si="8"/>
        <v/>
      </c>
      <c r="E514" s="159" t="str">
        <f>IF(C514="","",_xlfn.XLOOKUP(C514,Legend!$A$10:$A$26,Legend!$C$10:$C$26,"NOT FOUND",0,1))</f>
        <v/>
      </c>
      <c r="F514" s="160" t="str">
        <f>IF(C514="","",_xlfn.XLOOKUP(D514,Legend!$A$29:$A$118,Legend!$B$29:$B$118,"NOT FOUND",0,1))</f>
        <v/>
      </c>
      <c r="G514" s="268" t="str">
        <f>IF(C514="","",_xlfn.XLOOKUP(D514,Legend!$A$29:$A$118,Legend!$C$29:$C$118,"NOT FOUND",0,1))</f>
        <v/>
      </c>
    </row>
    <row r="515" spans="1:7" x14ac:dyDescent="0.2">
      <c r="A515" s="3">
        <v>1</v>
      </c>
      <c r="C515" s="3" t="str">
        <f>IF(B515="","",IF(ISNUMBER(VALUE(_xlfn.TEXTBEFORE(B515," "))),_xlfn.XLOOKUP(VALUE(_xlfn.TEXTBEFORE(B515," ")),Legend!$B$11:$B$26,Legend!$A$11:$A$26,"NOT FOUND",0,1),_xlfn.TEXTBEFORE(B515," ")))</f>
        <v/>
      </c>
      <c r="D515" s="3" t="str">
        <f t="shared" si="8"/>
        <v/>
      </c>
      <c r="E515" s="159" t="str">
        <f>IF(C515="","",_xlfn.XLOOKUP(C515,Legend!$A$10:$A$26,Legend!$C$10:$C$26,"NOT FOUND",0,1))</f>
        <v/>
      </c>
      <c r="F515" s="160" t="str">
        <f>IF(C515="","",_xlfn.XLOOKUP(D515,Legend!$A$29:$A$118,Legend!$B$29:$B$118,"NOT FOUND",0,1))</f>
        <v/>
      </c>
      <c r="G515" s="268" t="str">
        <f>IF(C515="","",_xlfn.XLOOKUP(D515,Legend!$A$29:$A$118,Legend!$C$29:$C$118,"NOT FOUND",0,1))</f>
        <v/>
      </c>
    </row>
    <row r="516" spans="1:7" x14ac:dyDescent="0.2">
      <c r="A516" s="3">
        <v>1</v>
      </c>
      <c r="C516" s="3" t="str">
        <f>IF(B516="","",IF(ISNUMBER(VALUE(_xlfn.TEXTBEFORE(B516," "))),_xlfn.XLOOKUP(VALUE(_xlfn.TEXTBEFORE(B516," ")),Legend!$B$11:$B$26,Legend!$A$11:$A$26,"NOT FOUND",0,1),_xlfn.TEXTBEFORE(B516," ")))</f>
        <v/>
      </c>
      <c r="D516" s="3" t="str">
        <f t="shared" si="8"/>
        <v/>
      </c>
      <c r="E516" s="159" t="str">
        <f>IF(C516="","",_xlfn.XLOOKUP(C516,Legend!$A$10:$A$26,Legend!$C$10:$C$26,"NOT FOUND",0,1))</f>
        <v/>
      </c>
      <c r="F516" s="160" t="str">
        <f>IF(C516="","",_xlfn.XLOOKUP(D516,Legend!$A$29:$A$118,Legend!$B$29:$B$118,"NOT FOUND",0,1))</f>
        <v/>
      </c>
      <c r="G516" s="268" t="str">
        <f>IF(C516="","",_xlfn.XLOOKUP(D516,Legend!$A$29:$A$118,Legend!$C$29:$C$118,"NOT FOUND",0,1))</f>
        <v/>
      </c>
    </row>
    <row r="517" spans="1:7" x14ac:dyDescent="0.2">
      <c r="A517" s="3">
        <v>1</v>
      </c>
      <c r="C517" s="3" t="str">
        <f>IF(B517="","",IF(ISNUMBER(VALUE(_xlfn.TEXTBEFORE(B517," "))),_xlfn.XLOOKUP(VALUE(_xlfn.TEXTBEFORE(B517," ")),Legend!$B$11:$B$26,Legend!$A$11:$A$26,"NOT FOUND",0,1),_xlfn.TEXTBEFORE(B517," ")))</f>
        <v/>
      </c>
      <c r="D517" s="3" t="str">
        <f t="shared" si="8"/>
        <v/>
      </c>
      <c r="E517" s="159" t="str">
        <f>IF(C517="","",_xlfn.XLOOKUP(C517,Legend!$A$10:$A$26,Legend!$C$10:$C$26,"NOT FOUND",0,1))</f>
        <v/>
      </c>
      <c r="F517" s="160" t="str">
        <f>IF(C517="","",_xlfn.XLOOKUP(D517,Legend!$A$29:$A$118,Legend!$B$29:$B$118,"NOT FOUND",0,1))</f>
        <v/>
      </c>
      <c r="G517" s="268" t="str">
        <f>IF(C517="","",_xlfn.XLOOKUP(D517,Legend!$A$29:$A$118,Legend!$C$29:$C$118,"NOT FOUND",0,1))</f>
        <v/>
      </c>
    </row>
    <row r="518" spans="1:7" x14ac:dyDescent="0.2">
      <c r="A518" s="3">
        <v>1</v>
      </c>
      <c r="C518" s="3" t="str">
        <f>IF(B518="","",IF(ISNUMBER(VALUE(_xlfn.TEXTBEFORE(B518," "))),_xlfn.XLOOKUP(VALUE(_xlfn.TEXTBEFORE(B518," ")),Legend!$B$11:$B$26,Legend!$A$11:$A$26,"NOT FOUND",0,1),_xlfn.TEXTBEFORE(B518," ")))</f>
        <v/>
      </c>
      <c r="D518" s="3" t="str">
        <f t="shared" si="8"/>
        <v/>
      </c>
      <c r="E518" s="159" t="str">
        <f>IF(C518="","",_xlfn.XLOOKUP(C518,Legend!$A$10:$A$26,Legend!$C$10:$C$26,"NOT FOUND",0,1))</f>
        <v/>
      </c>
      <c r="F518" s="160" t="str">
        <f>IF(C518="","",_xlfn.XLOOKUP(D518,Legend!$A$29:$A$118,Legend!$B$29:$B$118,"NOT FOUND",0,1))</f>
        <v/>
      </c>
      <c r="G518" s="268" t="str">
        <f>IF(C518="","",_xlfn.XLOOKUP(D518,Legend!$A$29:$A$118,Legend!$C$29:$C$118,"NOT FOUND",0,1))</f>
        <v/>
      </c>
    </row>
    <row r="519" spans="1:7" x14ac:dyDescent="0.2">
      <c r="A519" s="3">
        <v>1</v>
      </c>
      <c r="C519" s="3" t="str">
        <f>IF(B519="","",IF(ISNUMBER(VALUE(_xlfn.TEXTBEFORE(B519," "))),_xlfn.XLOOKUP(VALUE(_xlfn.TEXTBEFORE(B519," ")),Legend!$B$11:$B$26,Legend!$A$11:$A$26,"NOT FOUND",0,1),_xlfn.TEXTBEFORE(B519," ")))</f>
        <v/>
      </c>
      <c r="D519" s="3" t="str">
        <f t="shared" si="8"/>
        <v/>
      </c>
      <c r="E519" s="159" t="str">
        <f>IF(C519="","",_xlfn.XLOOKUP(C519,Legend!$A$10:$A$26,Legend!$C$10:$C$26,"NOT FOUND",0,1))</f>
        <v/>
      </c>
      <c r="F519" s="160" t="str">
        <f>IF(C519="","",_xlfn.XLOOKUP(D519,Legend!$A$29:$A$118,Legend!$B$29:$B$118,"NOT FOUND",0,1))</f>
        <v/>
      </c>
      <c r="G519" s="268" t="str">
        <f>IF(C519="","",_xlfn.XLOOKUP(D519,Legend!$A$29:$A$118,Legend!$C$29:$C$118,"NOT FOUND",0,1))</f>
        <v/>
      </c>
    </row>
    <row r="520" spans="1:7" x14ac:dyDescent="0.2">
      <c r="A520" s="3">
        <v>1</v>
      </c>
      <c r="C520" s="3" t="str">
        <f>IF(B520="","",IF(ISNUMBER(VALUE(_xlfn.TEXTBEFORE(B520," "))),_xlfn.XLOOKUP(VALUE(_xlfn.TEXTBEFORE(B520," ")),Legend!$B$11:$B$26,Legend!$A$11:$A$26,"NOT FOUND",0,1),_xlfn.TEXTBEFORE(B520," ")))</f>
        <v/>
      </c>
      <c r="D520" s="3" t="str">
        <f t="shared" si="8"/>
        <v/>
      </c>
      <c r="E520" s="159" t="str">
        <f>IF(C520="","",_xlfn.XLOOKUP(C520,Legend!$A$10:$A$26,Legend!$C$10:$C$26,"NOT FOUND",0,1))</f>
        <v/>
      </c>
      <c r="F520" s="160" t="str">
        <f>IF(C520="","",_xlfn.XLOOKUP(D520,Legend!$A$29:$A$118,Legend!$B$29:$B$118,"NOT FOUND",0,1))</f>
        <v/>
      </c>
      <c r="G520" s="268" t="str">
        <f>IF(C520="","",_xlfn.XLOOKUP(D520,Legend!$A$29:$A$118,Legend!$C$29:$C$118,"NOT FOUND",0,1))</f>
        <v/>
      </c>
    </row>
    <row r="521" spans="1:7" x14ac:dyDescent="0.2">
      <c r="A521" s="3">
        <v>1</v>
      </c>
      <c r="C521" s="3" t="str">
        <f>IF(B521="","",IF(ISNUMBER(VALUE(_xlfn.TEXTBEFORE(B521," "))),_xlfn.XLOOKUP(VALUE(_xlfn.TEXTBEFORE(B521," ")),Legend!$B$11:$B$26,Legend!$A$11:$A$26,"NOT FOUND",0,1),_xlfn.TEXTBEFORE(B521," ")))</f>
        <v/>
      </c>
      <c r="D521" s="3" t="str">
        <f t="shared" si="8"/>
        <v/>
      </c>
      <c r="E521" s="159" t="str">
        <f>IF(C521="","",_xlfn.XLOOKUP(C521,Legend!$A$10:$A$26,Legend!$C$10:$C$26,"NOT FOUND",0,1))</f>
        <v/>
      </c>
      <c r="F521" s="160" t="str">
        <f>IF(C521="","",_xlfn.XLOOKUP(D521,Legend!$A$29:$A$118,Legend!$B$29:$B$118,"NOT FOUND",0,1))</f>
        <v/>
      </c>
      <c r="G521" s="268" t="str">
        <f>IF(C521="","",_xlfn.XLOOKUP(D521,Legend!$A$29:$A$118,Legend!$C$29:$C$118,"NOT FOUND",0,1))</f>
        <v/>
      </c>
    </row>
    <row r="522" spans="1:7" x14ac:dyDescent="0.2">
      <c r="A522" s="3">
        <v>1</v>
      </c>
      <c r="C522" s="3" t="str">
        <f>IF(B522="","",IF(ISNUMBER(VALUE(_xlfn.TEXTBEFORE(B522," "))),_xlfn.XLOOKUP(VALUE(_xlfn.TEXTBEFORE(B522," ")),Legend!$B$11:$B$26,Legend!$A$11:$A$26,"NOT FOUND",0,1),_xlfn.TEXTBEFORE(B522," ")))</f>
        <v/>
      </c>
      <c r="D522" s="3" t="str">
        <f t="shared" si="8"/>
        <v/>
      </c>
      <c r="E522" s="159" t="str">
        <f>IF(C522="","",_xlfn.XLOOKUP(C522,Legend!$A$10:$A$26,Legend!$C$10:$C$26,"NOT FOUND",0,1))</f>
        <v/>
      </c>
      <c r="F522" s="160" t="str">
        <f>IF(C522="","",_xlfn.XLOOKUP(D522,Legend!$A$29:$A$118,Legend!$B$29:$B$118,"NOT FOUND",0,1))</f>
        <v/>
      </c>
      <c r="G522" s="268" t="str">
        <f>IF(C522="","",_xlfn.XLOOKUP(D522,Legend!$A$29:$A$118,Legend!$C$29:$C$118,"NOT FOUND",0,1))</f>
        <v/>
      </c>
    </row>
    <row r="523" spans="1:7" x14ac:dyDescent="0.2">
      <c r="A523" s="3">
        <v>1</v>
      </c>
      <c r="C523" s="3" t="str">
        <f>IF(B523="","",IF(ISNUMBER(VALUE(_xlfn.TEXTBEFORE(B523," "))),_xlfn.XLOOKUP(VALUE(_xlfn.TEXTBEFORE(B523," ")),Legend!$B$11:$B$26,Legend!$A$11:$A$26,"NOT FOUND",0,1),_xlfn.TEXTBEFORE(B523," ")))</f>
        <v/>
      </c>
      <c r="D523" s="3" t="str">
        <f t="shared" si="8"/>
        <v/>
      </c>
      <c r="E523" s="159" t="str">
        <f>IF(C523="","",_xlfn.XLOOKUP(C523,Legend!$A$10:$A$26,Legend!$C$10:$C$26,"NOT FOUND",0,1))</f>
        <v/>
      </c>
      <c r="F523" s="160" t="str">
        <f>IF(C523="","",_xlfn.XLOOKUP(D523,Legend!$A$29:$A$118,Legend!$B$29:$B$118,"NOT FOUND",0,1))</f>
        <v/>
      </c>
      <c r="G523" s="268" t="str">
        <f>IF(C523="","",_xlfn.XLOOKUP(D523,Legend!$A$29:$A$118,Legend!$C$29:$C$118,"NOT FOUND",0,1))</f>
        <v/>
      </c>
    </row>
    <row r="524" spans="1:7" x14ac:dyDescent="0.2">
      <c r="A524" s="3">
        <v>1</v>
      </c>
      <c r="C524" s="3" t="str">
        <f>IF(B524="","",IF(ISNUMBER(VALUE(_xlfn.TEXTBEFORE(B524," "))),_xlfn.XLOOKUP(VALUE(_xlfn.TEXTBEFORE(B524," ")),Legend!$B$11:$B$26,Legend!$A$11:$A$26,"NOT FOUND",0,1),_xlfn.TEXTBEFORE(B524," ")))</f>
        <v/>
      </c>
      <c r="D524" s="3" t="str">
        <f t="shared" si="8"/>
        <v/>
      </c>
      <c r="E524" s="159" t="str">
        <f>IF(C524="","",_xlfn.XLOOKUP(C524,Legend!$A$10:$A$26,Legend!$C$10:$C$26,"NOT FOUND",0,1))</f>
        <v/>
      </c>
      <c r="F524" s="160" t="str">
        <f>IF(C524="","",_xlfn.XLOOKUP(D524,Legend!$A$29:$A$118,Legend!$B$29:$B$118,"NOT FOUND",0,1))</f>
        <v/>
      </c>
      <c r="G524" s="268" t="str">
        <f>IF(C524="","",_xlfn.XLOOKUP(D524,Legend!$A$29:$A$118,Legend!$C$29:$C$118,"NOT FOUND",0,1))</f>
        <v/>
      </c>
    </row>
    <row r="525" spans="1:7" x14ac:dyDescent="0.2">
      <c r="A525" s="3">
        <v>1</v>
      </c>
      <c r="C525" s="3" t="str">
        <f>IF(B525="","",IF(ISNUMBER(VALUE(_xlfn.TEXTBEFORE(B525," "))),_xlfn.XLOOKUP(VALUE(_xlfn.TEXTBEFORE(B525," ")),Legend!$B$11:$B$26,Legend!$A$11:$A$26,"NOT FOUND",0,1),_xlfn.TEXTBEFORE(B525," ")))</f>
        <v/>
      </c>
      <c r="D525" s="3" t="str">
        <f t="shared" si="8"/>
        <v/>
      </c>
      <c r="E525" s="159" t="str">
        <f>IF(C525="","",_xlfn.XLOOKUP(C525,Legend!$A$10:$A$26,Legend!$C$10:$C$26,"NOT FOUND",0,1))</f>
        <v/>
      </c>
      <c r="F525" s="160" t="str">
        <f>IF(C525="","",_xlfn.XLOOKUP(D525,Legend!$A$29:$A$118,Legend!$B$29:$B$118,"NOT FOUND",0,1))</f>
        <v/>
      </c>
      <c r="G525" s="268" t="str">
        <f>IF(C525="","",_xlfn.XLOOKUP(D525,Legend!$A$29:$A$118,Legend!$C$29:$C$118,"NOT FOUND",0,1))</f>
        <v/>
      </c>
    </row>
    <row r="526" spans="1:7" x14ac:dyDescent="0.2">
      <c r="A526" s="3">
        <v>1</v>
      </c>
      <c r="C526" s="3" t="str">
        <f>IF(B526="","",IF(ISNUMBER(VALUE(_xlfn.TEXTBEFORE(B526," "))),_xlfn.XLOOKUP(VALUE(_xlfn.TEXTBEFORE(B526," ")),Legend!$B$11:$B$26,Legend!$A$11:$A$26,"NOT FOUND",0,1),_xlfn.TEXTBEFORE(B526," ")))</f>
        <v/>
      </c>
      <c r="D526" s="3" t="str">
        <f t="shared" si="8"/>
        <v/>
      </c>
      <c r="E526" s="159" t="str">
        <f>IF(C526="","",_xlfn.XLOOKUP(C526,Legend!$A$10:$A$26,Legend!$C$10:$C$26,"NOT FOUND",0,1))</f>
        <v/>
      </c>
      <c r="F526" s="160" t="str">
        <f>IF(C526="","",_xlfn.XLOOKUP(D526,Legend!$A$29:$A$118,Legend!$B$29:$B$118,"NOT FOUND",0,1))</f>
        <v/>
      </c>
      <c r="G526" s="268" t="str">
        <f>IF(C526="","",_xlfn.XLOOKUP(D526,Legend!$A$29:$A$118,Legend!$C$29:$C$118,"NOT FOUND",0,1))</f>
        <v/>
      </c>
    </row>
    <row r="527" spans="1:7" x14ac:dyDescent="0.2">
      <c r="A527" s="3">
        <v>1</v>
      </c>
      <c r="C527" s="3" t="str">
        <f>IF(B527="","",IF(ISNUMBER(VALUE(_xlfn.TEXTBEFORE(B527," "))),_xlfn.XLOOKUP(VALUE(_xlfn.TEXTBEFORE(B527," ")),Legend!$B$11:$B$26,Legend!$A$11:$A$26,"NOT FOUND",0,1),_xlfn.TEXTBEFORE(B527," ")))</f>
        <v/>
      </c>
      <c r="D527" s="3" t="str">
        <f t="shared" si="8"/>
        <v/>
      </c>
      <c r="E527" s="159" t="str">
        <f>IF(C527="","",_xlfn.XLOOKUP(C527,Legend!$A$10:$A$26,Legend!$C$10:$C$26,"NOT FOUND",0,1))</f>
        <v/>
      </c>
      <c r="F527" s="160" t="str">
        <f>IF(C527="","",_xlfn.XLOOKUP(D527,Legend!$A$29:$A$118,Legend!$B$29:$B$118,"NOT FOUND",0,1))</f>
        <v/>
      </c>
      <c r="G527" s="268" t="str">
        <f>IF(C527="","",_xlfn.XLOOKUP(D527,Legend!$A$29:$A$118,Legend!$C$29:$C$118,"NOT FOUND",0,1))</f>
        <v/>
      </c>
    </row>
    <row r="528" spans="1:7" x14ac:dyDescent="0.2">
      <c r="A528" s="3">
        <v>1</v>
      </c>
      <c r="C528" s="3" t="str">
        <f>IF(B528="","",IF(ISNUMBER(VALUE(_xlfn.TEXTBEFORE(B528," "))),_xlfn.XLOOKUP(VALUE(_xlfn.TEXTBEFORE(B528," ")),Legend!$B$11:$B$26,Legend!$A$11:$A$26,"NOT FOUND",0,1),_xlfn.TEXTBEFORE(B528," ")))</f>
        <v/>
      </c>
      <c r="D528" s="3" t="str">
        <f t="shared" si="8"/>
        <v/>
      </c>
      <c r="E528" s="159" t="str">
        <f>IF(C528="","",_xlfn.XLOOKUP(C528,Legend!$A$10:$A$26,Legend!$C$10:$C$26,"NOT FOUND",0,1))</f>
        <v/>
      </c>
      <c r="F528" s="160" t="str">
        <f>IF(C528="","",_xlfn.XLOOKUP(D528,Legend!$A$29:$A$118,Legend!$B$29:$B$118,"NOT FOUND",0,1))</f>
        <v/>
      </c>
      <c r="G528" s="268" t="str">
        <f>IF(C528="","",_xlfn.XLOOKUP(D528,Legend!$A$29:$A$118,Legend!$C$29:$C$118,"NOT FOUND",0,1))</f>
        <v/>
      </c>
    </row>
    <row r="529" spans="1:7" x14ac:dyDescent="0.2">
      <c r="A529" s="3">
        <v>1</v>
      </c>
      <c r="C529" s="3" t="str">
        <f>IF(B529="","",IF(ISNUMBER(VALUE(_xlfn.TEXTBEFORE(B529," "))),_xlfn.XLOOKUP(VALUE(_xlfn.TEXTBEFORE(B529," ")),Legend!$B$11:$B$26,Legend!$A$11:$A$26,"NOT FOUND",0,1),_xlfn.TEXTBEFORE(B529," ")))</f>
        <v/>
      </c>
      <c r="D529" s="3" t="str">
        <f t="shared" si="8"/>
        <v/>
      </c>
      <c r="E529" s="159" t="str">
        <f>IF(C529="","",_xlfn.XLOOKUP(C529,Legend!$A$10:$A$26,Legend!$C$10:$C$26,"NOT FOUND",0,1))</f>
        <v/>
      </c>
      <c r="F529" s="160" t="str">
        <f>IF(C529="","",_xlfn.XLOOKUP(D529,Legend!$A$29:$A$118,Legend!$B$29:$B$118,"NOT FOUND",0,1))</f>
        <v/>
      </c>
      <c r="G529" s="268" t="str">
        <f>IF(C529="","",_xlfn.XLOOKUP(D529,Legend!$A$29:$A$118,Legend!$C$29:$C$118,"NOT FOUND",0,1))</f>
        <v/>
      </c>
    </row>
    <row r="530" spans="1:7" x14ac:dyDescent="0.2">
      <c r="A530" s="3">
        <v>1</v>
      </c>
      <c r="C530" s="3" t="str">
        <f>IF(B530="","",IF(ISNUMBER(VALUE(_xlfn.TEXTBEFORE(B530," "))),_xlfn.XLOOKUP(VALUE(_xlfn.TEXTBEFORE(B530," ")),Legend!$B$11:$B$26,Legend!$A$11:$A$26,"NOT FOUND",0,1),_xlfn.TEXTBEFORE(B530," ")))</f>
        <v/>
      </c>
      <c r="D530" s="3" t="str">
        <f t="shared" si="8"/>
        <v/>
      </c>
      <c r="E530" s="159" t="str">
        <f>IF(C530="","",_xlfn.XLOOKUP(C530,Legend!$A$10:$A$26,Legend!$C$10:$C$26,"NOT FOUND",0,1))</f>
        <v/>
      </c>
      <c r="F530" s="160" t="str">
        <f>IF(C530="","",_xlfn.XLOOKUP(D530,Legend!$A$29:$A$118,Legend!$B$29:$B$118,"NOT FOUND",0,1))</f>
        <v/>
      </c>
      <c r="G530" s="268" t="str">
        <f>IF(C530="","",_xlfn.XLOOKUP(D530,Legend!$A$29:$A$118,Legend!$C$29:$C$118,"NOT FOUND",0,1))</f>
        <v/>
      </c>
    </row>
    <row r="531" spans="1:7" x14ac:dyDescent="0.2">
      <c r="A531" s="3">
        <v>1</v>
      </c>
      <c r="C531" s="3" t="str">
        <f>IF(B531="","",IF(ISNUMBER(VALUE(_xlfn.TEXTBEFORE(B531," "))),_xlfn.XLOOKUP(VALUE(_xlfn.TEXTBEFORE(B531," ")),Legend!$B$11:$B$26,Legend!$A$11:$A$26,"NOT FOUND",0,1),_xlfn.TEXTBEFORE(B531," ")))</f>
        <v/>
      </c>
      <c r="D531" s="3" t="str">
        <f t="shared" si="8"/>
        <v/>
      </c>
      <c r="E531" s="159" t="str">
        <f>IF(C531="","",_xlfn.XLOOKUP(C531,Legend!$A$10:$A$26,Legend!$C$10:$C$26,"NOT FOUND",0,1))</f>
        <v/>
      </c>
      <c r="F531" s="160" t="str">
        <f>IF(C531="","",_xlfn.XLOOKUP(D531,Legend!$A$29:$A$118,Legend!$B$29:$B$118,"NOT FOUND",0,1))</f>
        <v/>
      </c>
      <c r="G531" s="268" t="str">
        <f>IF(C531="","",_xlfn.XLOOKUP(D531,Legend!$A$29:$A$118,Legend!$C$29:$C$118,"NOT FOUND",0,1))</f>
        <v/>
      </c>
    </row>
    <row r="532" spans="1:7" x14ac:dyDescent="0.2">
      <c r="A532" s="3">
        <v>1</v>
      </c>
      <c r="C532" s="3" t="str">
        <f>IF(B532="","",IF(ISNUMBER(VALUE(_xlfn.TEXTBEFORE(B532," "))),_xlfn.XLOOKUP(VALUE(_xlfn.TEXTBEFORE(B532," ")),Legend!$B$11:$B$26,Legend!$A$11:$A$26,"NOT FOUND",0,1),_xlfn.TEXTBEFORE(B532," ")))</f>
        <v/>
      </c>
      <c r="D532" s="3" t="str">
        <f t="shared" si="8"/>
        <v/>
      </c>
      <c r="E532" s="159" t="str">
        <f>IF(C532="","",_xlfn.XLOOKUP(C532,Legend!$A$10:$A$26,Legend!$C$10:$C$26,"NOT FOUND",0,1))</f>
        <v/>
      </c>
      <c r="F532" s="160" t="str">
        <f>IF(C532="","",_xlfn.XLOOKUP(D532,Legend!$A$29:$A$118,Legend!$B$29:$B$118,"NOT FOUND",0,1))</f>
        <v/>
      </c>
      <c r="G532" s="268" t="str">
        <f>IF(C532="","",_xlfn.XLOOKUP(D532,Legend!$A$29:$A$118,Legend!$C$29:$C$118,"NOT FOUND",0,1))</f>
        <v/>
      </c>
    </row>
    <row r="533" spans="1:7" x14ac:dyDescent="0.2">
      <c r="A533" s="3">
        <v>1</v>
      </c>
      <c r="C533" s="3" t="str">
        <f>IF(B533="","",IF(ISNUMBER(VALUE(_xlfn.TEXTBEFORE(B533," "))),_xlfn.XLOOKUP(VALUE(_xlfn.TEXTBEFORE(B533," ")),Legend!$B$11:$B$26,Legend!$A$11:$A$26,"NOT FOUND",0,1),_xlfn.TEXTBEFORE(B533," ")))</f>
        <v/>
      </c>
      <c r="D533" s="3" t="str">
        <f t="shared" si="8"/>
        <v/>
      </c>
      <c r="E533" s="159" t="str">
        <f>IF(C533="","",_xlfn.XLOOKUP(C533,Legend!$A$10:$A$26,Legend!$C$10:$C$26,"NOT FOUND",0,1))</f>
        <v/>
      </c>
      <c r="F533" s="160" t="str">
        <f>IF(C533="","",_xlfn.XLOOKUP(D533,Legend!$A$29:$A$118,Legend!$B$29:$B$118,"NOT FOUND",0,1))</f>
        <v/>
      </c>
      <c r="G533" s="268" t="str">
        <f>IF(C533="","",_xlfn.XLOOKUP(D533,Legend!$A$29:$A$118,Legend!$C$29:$C$118,"NOT FOUND",0,1))</f>
        <v/>
      </c>
    </row>
    <row r="534" spans="1:7" x14ac:dyDescent="0.2">
      <c r="A534" s="3">
        <v>1</v>
      </c>
      <c r="C534" s="3" t="str">
        <f>IF(B534="","",IF(ISNUMBER(VALUE(_xlfn.TEXTBEFORE(B534," "))),_xlfn.XLOOKUP(VALUE(_xlfn.TEXTBEFORE(B534," ")),Legend!$B$11:$B$26,Legend!$A$11:$A$26,"NOT FOUND",0,1),_xlfn.TEXTBEFORE(B534," ")))</f>
        <v/>
      </c>
      <c r="D534" s="3" t="str">
        <f t="shared" si="8"/>
        <v/>
      </c>
      <c r="E534" s="159" t="str">
        <f>IF(C534="","",_xlfn.XLOOKUP(C534,Legend!$A$10:$A$26,Legend!$C$10:$C$26,"NOT FOUND",0,1))</f>
        <v/>
      </c>
      <c r="F534" s="160" t="str">
        <f>IF(C534="","",_xlfn.XLOOKUP(D534,Legend!$A$29:$A$118,Legend!$B$29:$B$118,"NOT FOUND",0,1))</f>
        <v/>
      </c>
      <c r="G534" s="268" t="str">
        <f>IF(C534="","",_xlfn.XLOOKUP(D534,Legend!$A$29:$A$118,Legend!$C$29:$C$118,"NOT FOUND",0,1))</f>
        <v/>
      </c>
    </row>
    <row r="535" spans="1:7" x14ac:dyDescent="0.2">
      <c r="A535" s="3">
        <v>1</v>
      </c>
      <c r="C535" s="3" t="str">
        <f>IF(B535="","",IF(ISNUMBER(VALUE(_xlfn.TEXTBEFORE(B535," "))),_xlfn.XLOOKUP(VALUE(_xlfn.TEXTBEFORE(B535," ")),Legend!$B$11:$B$26,Legend!$A$11:$A$26,"NOT FOUND",0,1),_xlfn.TEXTBEFORE(B535," ")))</f>
        <v/>
      </c>
      <c r="D535" s="3" t="str">
        <f t="shared" si="8"/>
        <v/>
      </c>
      <c r="E535" s="159" t="str">
        <f>IF(C535="","",_xlfn.XLOOKUP(C535,Legend!$A$10:$A$26,Legend!$C$10:$C$26,"NOT FOUND",0,1))</f>
        <v/>
      </c>
      <c r="F535" s="160" t="str">
        <f>IF(C535="","",_xlfn.XLOOKUP(D535,Legend!$A$29:$A$118,Legend!$B$29:$B$118,"NOT FOUND",0,1))</f>
        <v/>
      </c>
      <c r="G535" s="268" t="str">
        <f>IF(C535="","",_xlfn.XLOOKUP(D535,Legend!$A$29:$A$118,Legend!$C$29:$C$118,"NOT FOUND",0,1))</f>
        <v/>
      </c>
    </row>
    <row r="536" spans="1:7" x14ac:dyDescent="0.2">
      <c r="A536" s="3">
        <v>1</v>
      </c>
      <c r="C536" s="3" t="str">
        <f>IF(B536="","",IF(ISNUMBER(VALUE(_xlfn.TEXTBEFORE(B536," "))),_xlfn.XLOOKUP(VALUE(_xlfn.TEXTBEFORE(B536," ")),Legend!$B$11:$B$26,Legend!$A$11:$A$26,"NOT FOUND",0,1),_xlfn.TEXTBEFORE(B536," ")))</f>
        <v/>
      </c>
      <c r="D536" s="3" t="str">
        <f t="shared" si="8"/>
        <v/>
      </c>
      <c r="E536" s="159" t="str">
        <f>IF(C536="","",_xlfn.XLOOKUP(C536,Legend!$A$10:$A$26,Legend!$C$10:$C$26,"NOT FOUND",0,1))</f>
        <v/>
      </c>
      <c r="F536" s="160" t="str">
        <f>IF(C536="","",_xlfn.XLOOKUP(D536,Legend!$A$29:$A$118,Legend!$B$29:$B$118,"NOT FOUND",0,1))</f>
        <v/>
      </c>
      <c r="G536" s="268" t="str">
        <f>IF(C536="","",_xlfn.XLOOKUP(D536,Legend!$A$29:$A$118,Legend!$C$29:$C$118,"NOT FOUND",0,1))</f>
        <v/>
      </c>
    </row>
    <row r="537" spans="1:7" x14ac:dyDescent="0.2">
      <c r="A537" s="3">
        <v>1</v>
      </c>
      <c r="C537" s="3" t="str">
        <f>IF(B537="","",IF(ISNUMBER(VALUE(_xlfn.TEXTBEFORE(B537," "))),_xlfn.XLOOKUP(VALUE(_xlfn.TEXTBEFORE(B537," ")),Legend!$B$11:$B$26,Legend!$A$11:$A$26,"NOT FOUND",0,1),_xlfn.TEXTBEFORE(B537," ")))</f>
        <v/>
      </c>
      <c r="D537" s="3" t="str">
        <f t="shared" si="8"/>
        <v/>
      </c>
      <c r="E537" s="159" t="str">
        <f>IF(C537="","",_xlfn.XLOOKUP(C537,Legend!$A$10:$A$26,Legend!$C$10:$C$26,"NOT FOUND",0,1))</f>
        <v/>
      </c>
      <c r="F537" s="160" t="str">
        <f>IF(C537="","",_xlfn.XLOOKUP(D537,Legend!$A$29:$A$118,Legend!$B$29:$B$118,"NOT FOUND",0,1))</f>
        <v/>
      </c>
      <c r="G537" s="268" t="str">
        <f>IF(C537="","",_xlfn.XLOOKUP(D537,Legend!$A$29:$A$118,Legend!$C$29:$C$118,"NOT FOUND",0,1))</f>
        <v/>
      </c>
    </row>
    <row r="538" spans="1:7" x14ac:dyDescent="0.2">
      <c r="A538" s="3">
        <v>1</v>
      </c>
      <c r="C538" s="3" t="str">
        <f>IF(B538="","",IF(ISNUMBER(VALUE(_xlfn.TEXTBEFORE(B538," "))),_xlfn.XLOOKUP(VALUE(_xlfn.TEXTBEFORE(B538," ")),Legend!$B$11:$B$26,Legend!$A$11:$A$26,"NOT FOUND",0,1),_xlfn.TEXTBEFORE(B538," ")))</f>
        <v/>
      </c>
      <c r="D538" s="3" t="str">
        <f t="shared" si="8"/>
        <v/>
      </c>
      <c r="E538" s="159" t="str">
        <f>IF(C538="","",_xlfn.XLOOKUP(C538,Legend!$A$10:$A$26,Legend!$C$10:$C$26,"NOT FOUND",0,1))</f>
        <v/>
      </c>
      <c r="F538" s="160" t="str">
        <f>IF(C538="","",_xlfn.XLOOKUP(D538,Legend!$A$29:$A$118,Legend!$B$29:$B$118,"NOT FOUND",0,1))</f>
        <v/>
      </c>
      <c r="G538" s="268" t="str">
        <f>IF(C538="","",_xlfn.XLOOKUP(D538,Legend!$A$29:$A$118,Legend!$C$29:$C$118,"NOT FOUND",0,1))</f>
        <v/>
      </c>
    </row>
    <row r="539" spans="1:7" x14ac:dyDescent="0.2">
      <c r="A539" s="3">
        <v>1</v>
      </c>
      <c r="C539" s="3" t="str">
        <f>IF(B539="","",IF(ISNUMBER(VALUE(_xlfn.TEXTBEFORE(B539," "))),_xlfn.XLOOKUP(VALUE(_xlfn.TEXTBEFORE(B539," ")),Legend!$B$11:$B$26,Legend!$A$11:$A$26,"NOT FOUND",0,1),_xlfn.TEXTBEFORE(B539," ")))</f>
        <v/>
      </c>
      <c r="D539" s="3" t="str">
        <f t="shared" si="8"/>
        <v/>
      </c>
      <c r="E539" s="159" t="str">
        <f>IF(C539="","",_xlfn.XLOOKUP(C539,Legend!$A$10:$A$26,Legend!$C$10:$C$26,"NOT FOUND",0,1))</f>
        <v/>
      </c>
      <c r="F539" s="160" t="str">
        <f>IF(C539="","",_xlfn.XLOOKUP(D539,Legend!$A$29:$A$118,Legend!$B$29:$B$118,"NOT FOUND",0,1))</f>
        <v/>
      </c>
      <c r="G539" s="268" t="str">
        <f>IF(C539="","",_xlfn.XLOOKUP(D539,Legend!$A$29:$A$118,Legend!$C$29:$C$118,"NOT FOUND",0,1))</f>
        <v/>
      </c>
    </row>
    <row r="540" spans="1:7" x14ac:dyDescent="0.2">
      <c r="A540" s="3">
        <v>1</v>
      </c>
      <c r="C540" s="3" t="str">
        <f>IF(B540="","",IF(ISNUMBER(VALUE(_xlfn.TEXTBEFORE(B540," "))),_xlfn.XLOOKUP(VALUE(_xlfn.TEXTBEFORE(B540," ")),Legend!$B$11:$B$26,Legend!$A$11:$A$26,"NOT FOUND",0,1),_xlfn.TEXTBEFORE(B540," ")))</f>
        <v/>
      </c>
      <c r="D540" s="3" t="str">
        <f t="shared" si="8"/>
        <v/>
      </c>
      <c r="E540" s="159" t="str">
        <f>IF(C540="","",_xlfn.XLOOKUP(C540,Legend!$A$10:$A$26,Legend!$C$10:$C$26,"NOT FOUND",0,1))</f>
        <v/>
      </c>
      <c r="F540" s="160" t="str">
        <f>IF(C540="","",_xlfn.XLOOKUP(D540,Legend!$A$29:$A$118,Legend!$B$29:$B$118,"NOT FOUND",0,1))</f>
        <v/>
      </c>
      <c r="G540" s="268" t="str">
        <f>IF(C540="","",_xlfn.XLOOKUP(D540,Legend!$A$29:$A$118,Legend!$C$29:$C$118,"NOT FOUND",0,1))</f>
        <v/>
      </c>
    </row>
    <row r="541" spans="1:7" x14ac:dyDescent="0.2">
      <c r="A541" s="3">
        <v>1</v>
      </c>
      <c r="C541" s="3" t="str">
        <f>IF(B541="","",IF(ISNUMBER(VALUE(_xlfn.TEXTBEFORE(B541," "))),_xlfn.XLOOKUP(VALUE(_xlfn.TEXTBEFORE(B541," ")),Legend!$B$11:$B$26,Legend!$A$11:$A$26,"NOT FOUND",0,1),_xlfn.TEXTBEFORE(B541," ")))</f>
        <v/>
      </c>
      <c r="D541" s="3" t="str">
        <f t="shared" si="8"/>
        <v/>
      </c>
      <c r="E541" s="159" t="str">
        <f>IF(C541="","",_xlfn.XLOOKUP(C541,Legend!$A$10:$A$26,Legend!$C$10:$C$26,"NOT FOUND",0,1))</f>
        <v/>
      </c>
      <c r="F541" s="160" t="str">
        <f>IF(C541="","",_xlfn.XLOOKUP(D541,Legend!$A$29:$A$118,Legend!$B$29:$B$118,"NOT FOUND",0,1))</f>
        <v/>
      </c>
      <c r="G541" s="268" t="str">
        <f>IF(C541="","",_xlfn.XLOOKUP(D541,Legend!$A$29:$A$118,Legend!$C$29:$C$118,"NOT FOUND",0,1))</f>
        <v/>
      </c>
    </row>
    <row r="542" spans="1:7" x14ac:dyDescent="0.2">
      <c r="A542" s="3">
        <v>1</v>
      </c>
      <c r="C542" s="3" t="str">
        <f>IF(B542="","",IF(ISNUMBER(VALUE(_xlfn.TEXTBEFORE(B542," "))),_xlfn.XLOOKUP(VALUE(_xlfn.TEXTBEFORE(B542," ")),Legend!$B$11:$B$26,Legend!$A$11:$A$26,"NOT FOUND",0,1),_xlfn.TEXTBEFORE(B542," ")))</f>
        <v/>
      </c>
      <c r="D542" s="3" t="str">
        <f t="shared" si="8"/>
        <v/>
      </c>
      <c r="E542" s="159" t="str">
        <f>IF(C542="","",_xlfn.XLOOKUP(C542,Legend!$A$10:$A$26,Legend!$C$10:$C$26,"NOT FOUND",0,1))</f>
        <v/>
      </c>
      <c r="F542" s="160" t="str">
        <f>IF(C542="","",_xlfn.XLOOKUP(D542,Legend!$A$29:$A$118,Legend!$B$29:$B$118,"NOT FOUND",0,1))</f>
        <v/>
      </c>
      <c r="G542" s="268" t="str">
        <f>IF(C542="","",_xlfn.XLOOKUP(D542,Legend!$A$29:$A$118,Legend!$C$29:$C$118,"NOT FOUND",0,1))</f>
        <v/>
      </c>
    </row>
    <row r="543" spans="1:7" x14ac:dyDescent="0.2">
      <c r="A543" s="3">
        <v>1</v>
      </c>
      <c r="C543" s="3" t="str">
        <f>IF(B543="","",IF(ISNUMBER(VALUE(_xlfn.TEXTBEFORE(B543," "))),_xlfn.XLOOKUP(VALUE(_xlfn.TEXTBEFORE(B543," ")),Legend!$B$11:$B$26,Legend!$A$11:$A$26,"NOT FOUND",0,1),_xlfn.TEXTBEFORE(B543," ")))</f>
        <v/>
      </c>
      <c r="D543" s="3" t="str">
        <f t="shared" si="8"/>
        <v/>
      </c>
      <c r="E543" s="159" t="str">
        <f>IF(C543="","",_xlfn.XLOOKUP(C543,Legend!$A$10:$A$26,Legend!$C$10:$C$26,"NOT FOUND",0,1))</f>
        <v/>
      </c>
      <c r="F543" s="160" t="str">
        <f>IF(C543="","",_xlfn.XLOOKUP(D543,Legend!$A$29:$A$118,Legend!$B$29:$B$118,"NOT FOUND",0,1))</f>
        <v/>
      </c>
      <c r="G543" s="268" t="str">
        <f>IF(C543="","",_xlfn.XLOOKUP(D543,Legend!$A$29:$A$118,Legend!$C$29:$C$118,"NOT FOUND",0,1))</f>
        <v/>
      </c>
    </row>
    <row r="544" spans="1:7" x14ac:dyDescent="0.2">
      <c r="A544" s="3">
        <v>1</v>
      </c>
      <c r="C544" s="3" t="str">
        <f>IF(B544="","",IF(ISNUMBER(VALUE(_xlfn.TEXTBEFORE(B544," "))),_xlfn.XLOOKUP(VALUE(_xlfn.TEXTBEFORE(B544," ")),Legend!$B$11:$B$26,Legend!$A$11:$A$26,"NOT FOUND",0,1),_xlfn.TEXTBEFORE(B544," ")))</f>
        <v/>
      </c>
      <c r="D544" s="3" t="str">
        <f t="shared" si="8"/>
        <v/>
      </c>
      <c r="E544" s="159" t="str">
        <f>IF(C544="","",_xlfn.XLOOKUP(C544,Legend!$A$10:$A$26,Legend!$C$10:$C$26,"NOT FOUND",0,1))</f>
        <v/>
      </c>
      <c r="F544" s="160" t="str">
        <f>IF(C544="","",_xlfn.XLOOKUP(D544,Legend!$A$29:$A$118,Legend!$B$29:$B$118,"NOT FOUND",0,1))</f>
        <v/>
      </c>
      <c r="G544" s="268" t="str">
        <f>IF(C544="","",_xlfn.XLOOKUP(D544,Legend!$A$29:$A$118,Legend!$C$29:$C$118,"NOT FOUND",0,1))</f>
        <v/>
      </c>
    </row>
    <row r="545" spans="1:7" x14ac:dyDescent="0.2">
      <c r="A545" s="3">
        <v>1</v>
      </c>
      <c r="C545" s="3" t="str">
        <f>IF(B545="","",IF(ISNUMBER(VALUE(_xlfn.TEXTBEFORE(B545," "))),_xlfn.XLOOKUP(VALUE(_xlfn.TEXTBEFORE(B545," ")),Legend!$B$11:$B$26,Legend!$A$11:$A$26,"NOT FOUND",0,1),_xlfn.TEXTBEFORE(B545," ")))</f>
        <v/>
      </c>
      <c r="D545" s="3" t="str">
        <f t="shared" si="8"/>
        <v/>
      </c>
      <c r="E545" s="159" t="str">
        <f>IF(C545="","",_xlfn.XLOOKUP(C545,Legend!$A$10:$A$26,Legend!$C$10:$C$26,"NOT FOUND",0,1))</f>
        <v/>
      </c>
      <c r="F545" s="160" t="str">
        <f>IF(C545="","",_xlfn.XLOOKUP(D545,Legend!$A$29:$A$118,Legend!$B$29:$B$118,"NOT FOUND",0,1))</f>
        <v/>
      </c>
      <c r="G545" s="268" t="str">
        <f>IF(C545="","",_xlfn.XLOOKUP(D545,Legend!$A$29:$A$118,Legend!$C$29:$C$118,"NOT FOUND",0,1))</f>
        <v/>
      </c>
    </row>
    <row r="546" spans="1:7" x14ac:dyDescent="0.2">
      <c r="A546" s="3">
        <v>1</v>
      </c>
      <c r="C546" s="3" t="str">
        <f>IF(B546="","",IF(ISNUMBER(VALUE(_xlfn.TEXTBEFORE(B546," "))),_xlfn.XLOOKUP(VALUE(_xlfn.TEXTBEFORE(B546," ")),Legend!$B$11:$B$26,Legend!$A$11:$A$26,"NOT FOUND",0,1),_xlfn.TEXTBEFORE(B546," ")))</f>
        <v/>
      </c>
      <c r="D546" s="3" t="str">
        <f t="shared" si="8"/>
        <v/>
      </c>
      <c r="E546" s="159" t="str">
        <f>IF(C546="","",_xlfn.XLOOKUP(C546,Legend!$A$10:$A$26,Legend!$C$10:$C$26,"NOT FOUND",0,1))</f>
        <v/>
      </c>
      <c r="F546" s="160" t="str">
        <f>IF(C546="","",_xlfn.XLOOKUP(D546,Legend!$A$29:$A$118,Legend!$B$29:$B$118,"NOT FOUND",0,1))</f>
        <v/>
      </c>
      <c r="G546" s="268" t="str">
        <f>IF(C546="","",_xlfn.XLOOKUP(D546,Legend!$A$29:$A$118,Legend!$C$29:$C$118,"NOT FOUND",0,1))</f>
        <v/>
      </c>
    </row>
    <row r="547" spans="1:7" x14ac:dyDescent="0.2">
      <c r="A547" s="3">
        <v>1</v>
      </c>
      <c r="C547" s="3" t="str">
        <f>IF(B547="","",IF(ISNUMBER(VALUE(_xlfn.TEXTBEFORE(B547," "))),_xlfn.XLOOKUP(VALUE(_xlfn.TEXTBEFORE(B547," ")),Legend!$B$11:$B$26,Legend!$A$11:$A$26,"NOT FOUND",0,1),_xlfn.TEXTBEFORE(B547," ")))</f>
        <v/>
      </c>
      <c r="D547" s="3" t="str">
        <f t="shared" si="8"/>
        <v/>
      </c>
      <c r="E547" s="159" t="str">
        <f>IF(C547="","",_xlfn.XLOOKUP(C547,Legend!$A$10:$A$26,Legend!$C$10:$C$26,"NOT FOUND",0,1))</f>
        <v/>
      </c>
      <c r="F547" s="160" t="str">
        <f>IF(C547="","",_xlfn.XLOOKUP(D547,Legend!$A$29:$A$118,Legend!$B$29:$B$118,"NOT FOUND",0,1))</f>
        <v/>
      </c>
      <c r="G547" s="268" t="str">
        <f>IF(C547="","",_xlfn.XLOOKUP(D547,Legend!$A$29:$A$118,Legend!$C$29:$C$118,"NOT FOUND",0,1))</f>
        <v/>
      </c>
    </row>
    <row r="548" spans="1:7" x14ac:dyDescent="0.2">
      <c r="A548" s="3">
        <v>1</v>
      </c>
      <c r="C548" s="3" t="str">
        <f>IF(B548="","",IF(ISNUMBER(VALUE(_xlfn.TEXTBEFORE(B548," "))),_xlfn.XLOOKUP(VALUE(_xlfn.TEXTBEFORE(B548," ")),Legend!$B$11:$B$26,Legend!$A$11:$A$26,"NOT FOUND",0,1),_xlfn.TEXTBEFORE(B548," ")))</f>
        <v/>
      </c>
      <c r="D548" s="3" t="str">
        <f t="shared" si="8"/>
        <v/>
      </c>
      <c r="E548" s="159" t="str">
        <f>IF(C548="","",_xlfn.XLOOKUP(C548,Legend!$A$10:$A$26,Legend!$C$10:$C$26,"NOT FOUND",0,1))</f>
        <v/>
      </c>
      <c r="F548" s="160" t="str">
        <f>IF(C548="","",_xlfn.XLOOKUP(D548,Legend!$A$29:$A$118,Legend!$B$29:$B$118,"NOT FOUND",0,1))</f>
        <v/>
      </c>
      <c r="G548" s="268" t="str">
        <f>IF(C548="","",_xlfn.XLOOKUP(D548,Legend!$A$29:$A$118,Legend!$C$29:$C$118,"NOT FOUND",0,1))</f>
        <v/>
      </c>
    </row>
    <row r="549" spans="1:7" x14ac:dyDescent="0.2">
      <c r="A549" s="3">
        <v>1</v>
      </c>
      <c r="C549" s="3" t="str">
        <f>IF(B549="","",IF(ISNUMBER(VALUE(_xlfn.TEXTBEFORE(B549," "))),_xlfn.XLOOKUP(VALUE(_xlfn.TEXTBEFORE(B549," ")),Legend!$B$11:$B$26,Legend!$A$11:$A$26,"NOT FOUND",0,1),_xlfn.TEXTBEFORE(B549," ")))</f>
        <v/>
      </c>
      <c r="D549" s="3" t="str">
        <f t="shared" si="8"/>
        <v/>
      </c>
      <c r="E549" s="159" t="str">
        <f>IF(C549="","",_xlfn.XLOOKUP(C549,Legend!$A$10:$A$26,Legend!$C$10:$C$26,"NOT FOUND",0,1))</f>
        <v/>
      </c>
      <c r="F549" s="160" t="str">
        <f>IF(C549="","",_xlfn.XLOOKUP(D549,Legend!$A$29:$A$118,Legend!$B$29:$B$118,"NOT FOUND",0,1))</f>
        <v/>
      </c>
      <c r="G549" s="268" t="str">
        <f>IF(C549="","",_xlfn.XLOOKUP(D549,Legend!$A$29:$A$118,Legend!$C$29:$C$118,"NOT FOUND",0,1))</f>
        <v/>
      </c>
    </row>
    <row r="550" spans="1:7" x14ac:dyDescent="0.2">
      <c r="A550" s="3">
        <v>1</v>
      </c>
      <c r="C550" s="3" t="str">
        <f>IF(B550="","",IF(ISNUMBER(VALUE(_xlfn.TEXTBEFORE(B550," "))),_xlfn.XLOOKUP(VALUE(_xlfn.TEXTBEFORE(B550," ")),Legend!$B$11:$B$26,Legend!$A$11:$A$26,"NOT FOUND",0,1),_xlfn.TEXTBEFORE(B550," ")))</f>
        <v/>
      </c>
      <c r="D550" s="3" t="str">
        <f t="shared" si="8"/>
        <v/>
      </c>
      <c r="E550" s="159" t="str">
        <f>IF(C550="","",_xlfn.XLOOKUP(C550,Legend!$A$10:$A$26,Legend!$C$10:$C$26,"NOT FOUND",0,1))</f>
        <v/>
      </c>
      <c r="F550" s="160" t="str">
        <f>IF(C550="","",_xlfn.XLOOKUP(D550,Legend!$A$29:$A$118,Legend!$B$29:$B$118,"NOT FOUND",0,1))</f>
        <v/>
      </c>
      <c r="G550" s="268" t="str">
        <f>IF(C550="","",_xlfn.XLOOKUP(D550,Legend!$A$29:$A$118,Legend!$C$29:$C$118,"NOT FOUND",0,1))</f>
        <v/>
      </c>
    </row>
    <row r="551" spans="1:7" x14ac:dyDescent="0.2">
      <c r="A551" s="3">
        <v>1</v>
      </c>
      <c r="C551" s="3" t="str">
        <f>IF(B551="","",IF(ISNUMBER(VALUE(_xlfn.TEXTBEFORE(B551," "))),_xlfn.XLOOKUP(VALUE(_xlfn.TEXTBEFORE(B551," ")),Legend!$B$11:$B$26,Legend!$A$11:$A$26,"NOT FOUND",0,1),_xlfn.TEXTBEFORE(B551," ")))</f>
        <v/>
      </c>
      <c r="D551" s="3" t="str">
        <f t="shared" si="8"/>
        <v/>
      </c>
      <c r="E551" s="159" t="str">
        <f>IF(C551="","",_xlfn.XLOOKUP(C551,Legend!$A$10:$A$26,Legend!$C$10:$C$26,"NOT FOUND",0,1))</f>
        <v/>
      </c>
      <c r="F551" s="160" t="str">
        <f>IF(C551="","",_xlfn.XLOOKUP(D551,Legend!$A$29:$A$118,Legend!$B$29:$B$118,"NOT FOUND",0,1))</f>
        <v/>
      </c>
      <c r="G551" s="268" t="str">
        <f>IF(C551="","",_xlfn.XLOOKUP(D551,Legend!$A$29:$A$118,Legend!$C$29:$C$118,"NOT FOUND",0,1))</f>
        <v/>
      </c>
    </row>
    <row r="552" spans="1:7" x14ac:dyDescent="0.2">
      <c r="A552" s="3">
        <v>1</v>
      </c>
      <c r="C552" s="3" t="str">
        <f>IF(B552="","",IF(ISNUMBER(VALUE(_xlfn.TEXTBEFORE(B552," "))),_xlfn.XLOOKUP(VALUE(_xlfn.TEXTBEFORE(B552," ")),Legend!$B$11:$B$26,Legend!$A$11:$A$26,"NOT FOUND",0,1),_xlfn.TEXTBEFORE(B552," ")))</f>
        <v/>
      </c>
      <c r="D552" s="3" t="str">
        <f t="shared" si="8"/>
        <v/>
      </c>
      <c r="E552" s="159" t="str">
        <f>IF(C552="","",_xlfn.XLOOKUP(C552,Legend!$A$10:$A$26,Legend!$C$10:$C$26,"NOT FOUND",0,1))</f>
        <v/>
      </c>
      <c r="F552" s="160" t="str">
        <f>IF(C552="","",_xlfn.XLOOKUP(D552,Legend!$A$29:$A$118,Legend!$B$29:$B$118,"NOT FOUND",0,1))</f>
        <v/>
      </c>
      <c r="G552" s="268" t="str">
        <f>IF(C552="","",_xlfn.XLOOKUP(D552,Legend!$A$29:$A$118,Legend!$C$29:$C$118,"NOT FOUND",0,1))</f>
        <v/>
      </c>
    </row>
    <row r="553" spans="1:7" x14ac:dyDescent="0.2">
      <c r="A553" s="3">
        <v>1</v>
      </c>
      <c r="C553" s="3" t="str">
        <f>IF(B553="","",IF(ISNUMBER(VALUE(_xlfn.TEXTBEFORE(B553," "))),_xlfn.XLOOKUP(VALUE(_xlfn.TEXTBEFORE(B553," ")),Legend!$B$11:$B$26,Legend!$A$11:$A$26,"NOT FOUND",0,1),_xlfn.TEXTBEFORE(B553," ")))</f>
        <v/>
      </c>
      <c r="D553" s="3" t="str">
        <f t="shared" si="8"/>
        <v/>
      </c>
      <c r="E553" s="159" t="str">
        <f>IF(C553="","",_xlfn.XLOOKUP(C553,Legend!$A$10:$A$26,Legend!$C$10:$C$26,"NOT FOUND",0,1))</f>
        <v/>
      </c>
      <c r="F553" s="160" t="str">
        <f>IF(C553="","",_xlfn.XLOOKUP(D553,Legend!$A$29:$A$118,Legend!$B$29:$B$118,"NOT FOUND",0,1))</f>
        <v/>
      </c>
      <c r="G553" s="268" t="str">
        <f>IF(C553="","",_xlfn.XLOOKUP(D553,Legend!$A$29:$A$118,Legend!$C$29:$C$118,"NOT FOUND",0,1))</f>
        <v/>
      </c>
    </row>
    <row r="554" spans="1:7" x14ac:dyDescent="0.2">
      <c r="A554" s="3">
        <v>1</v>
      </c>
      <c r="C554" s="3" t="str">
        <f>IF(B554="","",IF(ISNUMBER(VALUE(_xlfn.TEXTBEFORE(B554," "))),_xlfn.XLOOKUP(VALUE(_xlfn.TEXTBEFORE(B554," ")),Legend!$B$11:$B$26,Legend!$A$11:$A$26,"NOT FOUND",0,1),_xlfn.TEXTBEFORE(B554," ")))</f>
        <v/>
      </c>
      <c r="D554" s="3" t="str">
        <f t="shared" si="8"/>
        <v/>
      </c>
      <c r="E554" s="159" t="str">
        <f>IF(C554="","",_xlfn.XLOOKUP(C554,Legend!$A$10:$A$26,Legend!$C$10:$C$26,"NOT FOUND",0,1))</f>
        <v/>
      </c>
      <c r="F554" s="160" t="str">
        <f>IF(C554="","",_xlfn.XLOOKUP(D554,Legend!$A$29:$A$118,Legend!$B$29:$B$118,"NOT FOUND",0,1))</f>
        <v/>
      </c>
      <c r="G554" s="268" t="str">
        <f>IF(C554="","",_xlfn.XLOOKUP(D554,Legend!$A$29:$A$118,Legend!$C$29:$C$118,"NOT FOUND",0,1))</f>
        <v/>
      </c>
    </row>
    <row r="555" spans="1:7" x14ac:dyDescent="0.2">
      <c r="A555" s="3">
        <v>1</v>
      </c>
      <c r="C555" s="3" t="str">
        <f>IF(B555="","",IF(ISNUMBER(VALUE(_xlfn.TEXTBEFORE(B555," "))),_xlfn.XLOOKUP(VALUE(_xlfn.TEXTBEFORE(B555," ")),Legend!$B$11:$B$26,Legend!$A$11:$A$26,"NOT FOUND",0,1),_xlfn.TEXTBEFORE(B555," ")))</f>
        <v/>
      </c>
      <c r="D555" s="3" t="str">
        <f t="shared" si="8"/>
        <v/>
      </c>
      <c r="E555" s="159" t="str">
        <f>IF(C555="","",_xlfn.XLOOKUP(C555,Legend!$A$10:$A$26,Legend!$C$10:$C$26,"NOT FOUND",0,1))</f>
        <v/>
      </c>
      <c r="F555" s="160" t="str">
        <f>IF(C555="","",_xlfn.XLOOKUP(D555,Legend!$A$29:$A$118,Legend!$B$29:$B$118,"NOT FOUND",0,1))</f>
        <v/>
      </c>
      <c r="G555" s="268" t="str">
        <f>IF(C555="","",_xlfn.XLOOKUP(D555,Legend!$A$29:$A$118,Legend!$C$29:$C$118,"NOT FOUND",0,1))</f>
        <v/>
      </c>
    </row>
    <row r="556" spans="1:7" x14ac:dyDescent="0.2">
      <c r="A556" s="3">
        <v>1</v>
      </c>
      <c r="C556" s="3" t="str">
        <f>IF(B556="","",IF(ISNUMBER(VALUE(_xlfn.TEXTBEFORE(B556," "))),_xlfn.XLOOKUP(VALUE(_xlfn.TEXTBEFORE(B556," ")),Legend!$B$11:$B$26,Legend!$A$11:$A$26,"NOT FOUND",0,1),_xlfn.TEXTBEFORE(B556," ")))</f>
        <v/>
      </c>
      <c r="D556" s="3" t="str">
        <f t="shared" si="8"/>
        <v/>
      </c>
      <c r="E556" s="159" t="str">
        <f>IF(C556="","",_xlfn.XLOOKUP(C556,Legend!$A$10:$A$26,Legend!$C$10:$C$26,"NOT FOUND",0,1))</f>
        <v/>
      </c>
      <c r="F556" s="160" t="str">
        <f>IF(C556="","",_xlfn.XLOOKUP(D556,Legend!$A$29:$A$118,Legend!$B$29:$B$118,"NOT FOUND",0,1))</f>
        <v/>
      </c>
      <c r="G556" s="268" t="str">
        <f>IF(C556="","",_xlfn.XLOOKUP(D556,Legend!$A$29:$A$118,Legend!$C$29:$C$118,"NOT FOUND",0,1))</f>
        <v/>
      </c>
    </row>
    <row r="557" spans="1:7" x14ac:dyDescent="0.2">
      <c r="A557" s="3">
        <v>1</v>
      </c>
      <c r="C557" s="3" t="str">
        <f>IF(B557="","",IF(ISNUMBER(VALUE(_xlfn.TEXTBEFORE(B557," "))),_xlfn.XLOOKUP(VALUE(_xlfn.TEXTBEFORE(B557," ")),Legend!$B$11:$B$26,Legend!$A$11:$A$26,"NOT FOUND",0,1),_xlfn.TEXTBEFORE(B557," ")))</f>
        <v/>
      </c>
      <c r="D557" s="3" t="str">
        <f t="shared" si="8"/>
        <v/>
      </c>
      <c r="E557" s="159" t="str">
        <f>IF(C557="","",_xlfn.XLOOKUP(C557,Legend!$A$10:$A$26,Legend!$C$10:$C$26,"NOT FOUND",0,1))</f>
        <v/>
      </c>
      <c r="F557" s="160" t="str">
        <f>IF(C557="","",_xlfn.XLOOKUP(D557,Legend!$A$29:$A$118,Legend!$B$29:$B$118,"NOT FOUND",0,1))</f>
        <v/>
      </c>
      <c r="G557" s="268" t="str">
        <f>IF(C557="","",_xlfn.XLOOKUP(D557,Legend!$A$29:$A$118,Legend!$C$29:$C$118,"NOT FOUND",0,1))</f>
        <v/>
      </c>
    </row>
    <row r="558" spans="1:7" x14ac:dyDescent="0.2">
      <c r="A558" s="3">
        <v>1</v>
      </c>
      <c r="C558" s="3" t="str">
        <f>IF(B558="","",IF(ISNUMBER(VALUE(_xlfn.TEXTBEFORE(B558," "))),_xlfn.XLOOKUP(VALUE(_xlfn.TEXTBEFORE(B558," ")),Legend!$B$11:$B$26,Legend!$A$11:$A$26,"NOT FOUND",0,1),_xlfn.TEXTBEFORE(B558," ")))</f>
        <v/>
      </c>
      <c r="D558" s="3" t="str">
        <f t="shared" si="8"/>
        <v/>
      </c>
      <c r="E558" s="159" t="str">
        <f>IF(C558="","",_xlfn.XLOOKUP(C558,Legend!$A$10:$A$26,Legend!$C$10:$C$26,"NOT FOUND",0,1))</f>
        <v/>
      </c>
      <c r="F558" s="160" t="str">
        <f>IF(C558="","",_xlfn.XLOOKUP(D558,Legend!$A$29:$A$118,Legend!$B$29:$B$118,"NOT FOUND",0,1))</f>
        <v/>
      </c>
      <c r="G558" s="268" t="str">
        <f>IF(C558="","",_xlfn.XLOOKUP(D558,Legend!$A$29:$A$118,Legend!$C$29:$C$118,"NOT FOUND",0,1))</f>
        <v/>
      </c>
    </row>
    <row r="559" spans="1:7" x14ac:dyDescent="0.2">
      <c r="A559" s="3">
        <v>1</v>
      </c>
      <c r="C559" s="3" t="str">
        <f>IF(B559="","",IF(ISNUMBER(VALUE(_xlfn.TEXTBEFORE(B559," "))),_xlfn.XLOOKUP(VALUE(_xlfn.TEXTBEFORE(B559," ")),Legend!$B$11:$B$26,Legend!$A$11:$A$26,"NOT FOUND",0,1),_xlfn.TEXTBEFORE(B559," ")))</f>
        <v/>
      </c>
      <c r="D559" s="3" t="str">
        <f t="shared" si="8"/>
        <v/>
      </c>
      <c r="E559" s="159" t="str">
        <f>IF(C559="","",_xlfn.XLOOKUP(C559,Legend!$A$10:$A$26,Legend!$C$10:$C$26,"NOT FOUND",0,1))</f>
        <v/>
      </c>
      <c r="F559" s="160" t="str">
        <f>IF(C559="","",_xlfn.XLOOKUP(D559,Legend!$A$29:$A$118,Legend!$B$29:$B$118,"NOT FOUND",0,1))</f>
        <v/>
      </c>
      <c r="G559" s="268" t="str">
        <f>IF(C559="","",_xlfn.XLOOKUP(D559,Legend!$A$29:$A$118,Legend!$C$29:$C$118,"NOT FOUND",0,1))</f>
        <v/>
      </c>
    </row>
    <row r="560" spans="1:7" x14ac:dyDescent="0.2">
      <c r="A560" s="3">
        <v>1</v>
      </c>
      <c r="C560" s="3" t="str">
        <f>IF(B560="","",IF(ISNUMBER(VALUE(_xlfn.TEXTBEFORE(B560," "))),_xlfn.XLOOKUP(VALUE(_xlfn.TEXTBEFORE(B560," ")),Legend!$B$11:$B$26,Legend!$A$11:$A$26,"NOT FOUND",0,1),_xlfn.TEXTBEFORE(B560," ")))</f>
        <v/>
      </c>
      <c r="D560" s="3" t="str">
        <f t="shared" si="8"/>
        <v/>
      </c>
      <c r="E560" s="159" t="str">
        <f>IF(C560="","",_xlfn.XLOOKUP(C560,Legend!$A$10:$A$26,Legend!$C$10:$C$26,"NOT FOUND",0,1))</f>
        <v/>
      </c>
      <c r="F560" s="160" t="str">
        <f>IF(C560="","",_xlfn.XLOOKUP(D560,Legend!$A$29:$A$118,Legend!$B$29:$B$118,"NOT FOUND",0,1))</f>
        <v/>
      </c>
      <c r="G560" s="268" t="str">
        <f>IF(C560="","",_xlfn.XLOOKUP(D560,Legend!$A$29:$A$118,Legend!$C$29:$C$118,"NOT FOUND",0,1))</f>
        <v/>
      </c>
    </row>
    <row r="561" spans="1:7" x14ac:dyDescent="0.2">
      <c r="A561" s="3">
        <v>1</v>
      </c>
      <c r="C561" s="3" t="str">
        <f>IF(B561="","",IF(ISNUMBER(VALUE(_xlfn.TEXTBEFORE(B561," "))),_xlfn.XLOOKUP(VALUE(_xlfn.TEXTBEFORE(B561," ")),Legend!$B$11:$B$26,Legend!$A$11:$A$26,"NOT FOUND",0,1),_xlfn.TEXTBEFORE(B561," ")))</f>
        <v/>
      </c>
      <c r="D561" s="3" t="str">
        <f t="shared" si="8"/>
        <v/>
      </c>
      <c r="E561" s="159" t="str">
        <f>IF(C561="","",_xlfn.XLOOKUP(C561,Legend!$A$10:$A$26,Legend!$C$10:$C$26,"NOT FOUND",0,1))</f>
        <v/>
      </c>
      <c r="F561" s="160" t="str">
        <f>IF(C561="","",_xlfn.XLOOKUP(D561,Legend!$A$29:$A$118,Legend!$B$29:$B$118,"NOT FOUND",0,1))</f>
        <v/>
      </c>
      <c r="G561" s="268" t="str">
        <f>IF(C561="","",_xlfn.XLOOKUP(D561,Legend!$A$29:$A$118,Legend!$C$29:$C$118,"NOT FOUND",0,1))</f>
        <v/>
      </c>
    </row>
    <row r="562" spans="1:7" x14ac:dyDescent="0.2">
      <c r="A562" s="3">
        <v>1</v>
      </c>
      <c r="C562" s="3" t="str">
        <f>IF(B562="","",IF(ISNUMBER(VALUE(_xlfn.TEXTBEFORE(B562," "))),_xlfn.XLOOKUP(VALUE(_xlfn.TEXTBEFORE(B562," ")),Legend!$B$11:$B$26,Legend!$A$11:$A$26,"NOT FOUND",0,1),_xlfn.TEXTBEFORE(B562," ")))</f>
        <v/>
      </c>
      <c r="D562" s="3" t="str">
        <f t="shared" si="8"/>
        <v/>
      </c>
      <c r="E562" s="159" t="str">
        <f>IF(C562="","",_xlfn.XLOOKUP(C562,Legend!$A$10:$A$26,Legend!$C$10:$C$26,"NOT FOUND",0,1))</f>
        <v/>
      </c>
      <c r="F562" s="160" t="str">
        <f>IF(C562="","",_xlfn.XLOOKUP(D562,Legend!$A$29:$A$118,Legend!$B$29:$B$118,"NOT FOUND",0,1))</f>
        <v/>
      </c>
      <c r="G562" s="268" t="str">
        <f>IF(C562="","",_xlfn.XLOOKUP(D562,Legend!$A$29:$A$118,Legend!$C$29:$C$118,"NOT FOUND",0,1))</f>
        <v/>
      </c>
    </row>
    <row r="563" spans="1:7" x14ac:dyDescent="0.2">
      <c r="A563" s="3">
        <v>1</v>
      </c>
      <c r="C563" s="3" t="str">
        <f>IF(B563="","",IF(ISNUMBER(VALUE(_xlfn.TEXTBEFORE(B563," "))),_xlfn.XLOOKUP(VALUE(_xlfn.TEXTBEFORE(B563," ")),Legend!$B$11:$B$26,Legend!$A$11:$A$26,"NOT FOUND",0,1),_xlfn.TEXTBEFORE(B563," ")))</f>
        <v/>
      </c>
      <c r="D563" s="3" t="str">
        <f t="shared" si="8"/>
        <v/>
      </c>
      <c r="E563" s="159" t="str">
        <f>IF(C563="","",_xlfn.XLOOKUP(C563,Legend!$A$10:$A$26,Legend!$C$10:$C$26,"NOT FOUND",0,1))</f>
        <v/>
      </c>
      <c r="F563" s="160" t="str">
        <f>IF(C563="","",_xlfn.XLOOKUP(D563,Legend!$A$29:$A$118,Legend!$B$29:$B$118,"NOT FOUND",0,1))</f>
        <v/>
      </c>
      <c r="G563" s="268" t="str">
        <f>IF(C563="","",_xlfn.XLOOKUP(D563,Legend!$A$29:$A$118,Legend!$C$29:$C$118,"NOT FOUND",0,1))</f>
        <v/>
      </c>
    </row>
    <row r="564" spans="1:7" x14ac:dyDescent="0.2">
      <c r="A564" s="3">
        <v>1</v>
      </c>
      <c r="C564" s="3" t="str">
        <f>IF(B564="","",IF(ISNUMBER(VALUE(_xlfn.TEXTBEFORE(B564," "))),_xlfn.XLOOKUP(VALUE(_xlfn.TEXTBEFORE(B564," ")),Legend!$B$11:$B$26,Legend!$A$11:$A$26,"NOT FOUND",0,1),_xlfn.TEXTBEFORE(B564," ")))</f>
        <v/>
      </c>
      <c r="D564" s="3" t="str">
        <f t="shared" si="8"/>
        <v/>
      </c>
      <c r="E564" s="159" t="str">
        <f>IF(C564="","",_xlfn.XLOOKUP(C564,Legend!$A$10:$A$26,Legend!$C$10:$C$26,"NOT FOUND",0,1))</f>
        <v/>
      </c>
      <c r="F564" s="160" t="str">
        <f>IF(C564="","",_xlfn.XLOOKUP(D564,Legend!$A$29:$A$118,Legend!$B$29:$B$118,"NOT FOUND",0,1))</f>
        <v/>
      </c>
      <c r="G564" s="268" t="str">
        <f>IF(C564="","",_xlfn.XLOOKUP(D564,Legend!$A$29:$A$118,Legend!$C$29:$C$118,"NOT FOUND",0,1))</f>
        <v/>
      </c>
    </row>
    <row r="565" spans="1:7" x14ac:dyDescent="0.2">
      <c r="A565" s="3">
        <v>1</v>
      </c>
      <c r="C565" s="3" t="str">
        <f>IF(B565="","",IF(ISNUMBER(VALUE(_xlfn.TEXTBEFORE(B565," "))),_xlfn.XLOOKUP(VALUE(_xlfn.TEXTBEFORE(B565," ")),Legend!$B$11:$B$26,Legend!$A$11:$A$26,"NOT FOUND",0,1),_xlfn.TEXTBEFORE(B565," ")))</f>
        <v/>
      </c>
      <c r="D565" s="3" t="str">
        <f t="shared" si="8"/>
        <v/>
      </c>
      <c r="E565" s="159" t="str">
        <f>IF(C565="","",_xlfn.XLOOKUP(C565,Legend!$A$10:$A$26,Legend!$C$10:$C$26,"NOT FOUND",0,1))</f>
        <v/>
      </c>
      <c r="F565" s="160" t="str">
        <f>IF(C565="","",_xlfn.XLOOKUP(D565,Legend!$A$29:$A$118,Legend!$B$29:$B$118,"NOT FOUND",0,1))</f>
        <v/>
      </c>
      <c r="G565" s="268" t="str">
        <f>IF(C565="","",_xlfn.XLOOKUP(D565,Legend!$A$29:$A$118,Legend!$C$29:$C$118,"NOT FOUND",0,1))</f>
        <v/>
      </c>
    </row>
    <row r="566" spans="1:7" x14ac:dyDescent="0.2">
      <c r="A566" s="3">
        <v>1</v>
      </c>
      <c r="C566" s="3" t="str">
        <f>IF(B566="","",IF(ISNUMBER(VALUE(_xlfn.TEXTBEFORE(B566," "))),_xlfn.XLOOKUP(VALUE(_xlfn.TEXTBEFORE(B566," ")),Legend!$B$11:$B$26,Legend!$A$11:$A$26,"NOT FOUND",0,1),_xlfn.TEXTBEFORE(B566," ")))</f>
        <v/>
      </c>
      <c r="D566" s="3" t="str">
        <f t="shared" si="8"/>
        <v/>
      </c>
      <c r="E566" s="159" t="str">
        <f>IF(C566="","",_xlfn.XLOOKUP(C566,Legend!$A$10:$A$26,Legend!$C$10:$C$26,"NOT FOUND",0,1))</f>
        <v/>
      </c>
      <c r="F566" s="160" t="str">
        <f>IF(C566="","",_xlfn.XLOOKUP(D566,Legend!$A$29:$A$118,Legend!$B$29:$B$118,"NOT FOUND",0,1))</f>
        <v/>
      </c>
      <c r="G566" s="268" t="str">
        <f>IF(C566="","",_xlfn.XLOOKUP(D566,Legend!$A$29:$A$118,Legend!$C$29:$C$118,"NOT FOUND",0,1))</f>
        <v/>
      </c>
    </row>
    <row r="567" spans="1:7" x14ac:dyDescent="0.2">
      <c r="A567" s="3">
        <v>1</v>
      </c>
      <c r="C567" s="3" t="str">
        <f>IF(B567="","",IF(ISNUMBER(VALUE(_xlfn.TEXTBEFORE(B567," "))),_xlfn.XLOOKUP(VALUE(_xlfn.TEXTBEFORE(B567," ")),Legend!$B$11:$B$26,Legend!$A$11:$A$26,"NOT FOUND",0,1),_xlfn.TEXTBEFORE(B567," ")))</f>
        <v/>
      </c>
      <c r="D567" s="3" t="str">
        <f t="shared" si="8"/>
        <v/>
      </c>
      <c r="E567" s="159" t="str">
        <f>IF(C567="","",_xlfn.XLOOKUP(C567,Legend!$A$10:$A$26,Legend!$C$10:$C$26,"NOT FOUND",0,1))</f>
        <v/>
      </c>
      <c r="F567" s="160" t="str">
        <f>IF(C567="","",_xlfn.XLOOKUP(D567,Legend!$A$29:$A$118,Legend!$B$29:$B$118,"NOT FOUND",0,1))</f>
        <v/>
      </c>
      <c r="G567" s="268" t="str">
        <f>IF(C567="","",_xlfn.XLOOKUP(D567,Legend!$A$29:$A$118,Legend!$C$29:$C$118,"NOT FOUND",0,1))</f>
        <v/>
      </c>
    </row>
    <row r="568" spans="1:7" x14ac:dyDescent="0.2">
      <c r="A568" s="3">
        <v>1</v>
      </c>
      <c r="C568" s="3" t="str">
        <f>IF(B568="","",IF(ISNUMBER(VALUE(_xlfn.TEXTBEFORE(B568," "))),_xlfn.XLOOKUP(VALUE(_xlfn.TEXTBEFORE(B568," ")),Legend!$B$11:$B$26,Legend!$A$11:$A$26,"NOT FOUND",0,1),_xlfn.TEXTBEFORE(B568," ")))</f>
        <v/>
      </c>
      <c r="D568" s="3" t="str">
        <f t="shared" si="8"/>
        <v/>
      </c>
      <c r="E568" s="159" t="str">
        <f>IF(C568="","",_xlfn.XLOOKUP(C568,Legend!$A$10:$A$26,Legend!$C$10:$C$26,"NOT FOUND",0,1))</f>
        <v/>
      </c>
      <c r="F568" s="160" t="str">
        <f>IF(C568="","",_xlfn.XLOOKUP(D568,Legend!$A$29:$A$118,Legend!$B$29:$B$118,"NOT FOUND",0,1))</f>
        <v/>
      </c>
      <c r="G568" s="268" t="str">
        <f>IF(C568="","",_xlfn.XLOOKUP(D568,Legend!$A$29:$A$118,Legend!$C$29:$C$118,"NOT FOUND",0,1))</f>
        <v/>
      </c>
    </row>
    <row r="569" spans="1:7" x14ac:dyDescent="0.2">
      <c r="A569" s="3">
        <v>1</v>
      </c>
      <c r="C569" s="3" t="str">
        <f>IF(B569="","",IF(ISNUMBER(VALUE(_xlfn.TEXTBEFORE(B569," "))),_xlfn.XLOOKUP(VALUE(_xlfn.TEXTBEFORE(B569," ")),Legend!$B$11:$B$26,Legend!$A$11:$A$26,"NOT FOUND",0,1),_xlfn.TEXTBEFORE(B569," ")))</f>
        <v/>
      </c>
      <c r="D569" s="3" t="str">
        <f t="shared" si="8"/>
        <v/>
      </c>
      <c r="E569" s="159" t="str">
        <f>IF(C569="","",_xlfn.XLOOKUP(C569,Legend!$A$10:$A$26,Legend!$C$10:$C$26,"NOT FOUND",0,1))</f>
        <v/>
      </c>
      <c r="F569" s="160" t="str">
        <f>IF(C569="","",_xlfn.XLOOKUP(D569,Legend!$A$29:$A$118,Legend!$B$29:$B$118,"NOT FOUND",0,1))</f>
        <v/>
      </c>
      <c r="G569" s="268" t="str">
        <f>IF(C569="","",_xlfn.XLOOKUP(D569,Legend!$A$29:$A$118,Legend!$C$29:$C$118,"NOT FOUND",0,1))</f>
        <v/>
      </c>
    </row>
    <row r="570" spans="1:7" x14ac:dyDescent="0.2">
      <c r="A570" s="3">
        <v>1</v>
      </c>
      <c r="C570" s="3" t="str">
        <f>IF(B570="","",IF(ISNUMBER(VALUE(_xlfn.TEXTBEFORE(B570," "))),_xlfn.XLOOKUP(VALUE(_xlfn.TEXTBEFORE(B570," ")),Legend!$B$11:$B$26,Legend!$A$11:$A$26,"NOT FOUND",0,1),_xlfn.TEXTBEFORE(B570," ")))</f>
        <v/>
      </c>
      <c r="D570" s="3" t="str">
        <f t="shared" si="8"/>
        <v/>
      </c>
      <c r="E570" s="159" t="str">
        <f>IF(C570="","",_xlfn.XLOOKUP(C570,Legend!$A$10:$A$26,Legend!$C$10:$C$26,"NOT FOUND",0,1))</f>
        <v/>
      </c>
      <c r="F570" s="160" t="str">
        <f>IF(C570="","",_xlfn.XLOOKUP(D570,Legend!$A$29:$A$118,Legend!$B$29:$B$118,"NOT FOUND",0,1))</f>
        <v/>
      </c>
      <c r="G570" s="268" t="str">
        <f>IF(C570="","",_xlfn.XLOOKUP(D570,Legend!$A$29:$A$118,Legend!$C$29:$C$118,"NOT FOUND",0,1))</f>
        <v/>
      </c>
    </row>
    <row r="571" spans="1:7" x14ac:dyDescent="0.2">
      <c r="A571" s="3">
        <v>1</v>
      </c>
      <c r="C571" s="3" t="str">
        <f>IF(B571="","",IF(ISNUMBER(VALUE(_xlfn.TEXTBEFORE(B571," "))),_xlfn.XLOOKUP(VALUE(_xlfn.TEXTBEFORE(B571," ")),Legend!$B$11:$B$26,Legend!$A$11:$A$26,"NOT FOUND",0,1),_xlfn.TEXTBEFORE(B571," ")))</f>
        <v/>
      </c>
      <c r="D571" s="3" t="str">
        <f t="shared" ref="D571:D579" si="9">IF(B571="","",_xlfn.TEXTAFTER(B571," "))</f>
        <v/>
      </c>
      <c r="E571" s="159" t="str">
        <f>IF(C571="","",_xlfn.XLOOKUP(C571,Legend!$A$10:$A$26,Legend!$C$10:$C$26,"NOT FOUND",0,1))</f>
        <v/>
      </c>
      <c r="F571" s="160" t="str">
        <f>IF(C571="","",_xlfn.XLOOKUP(D571,Legend!$A$29:$A$118,Legend!$B$29:$B$118,"NOT FOUND",0,1))</f>
        <v/>
      </c>
      <c r="G571" s="268" t="str">
        <f>IF(C571="","",_xlfn.XLOOKUP(D571,Legend!$A$29:$A$118,Legend!$C$29:$C$118,"NOT FOUND",0,1))</f>
        <v/>
      </c>
    </row>
    <row r="572" spans="1:7" x14ac:dyDescent="0.2">
      <c r="A572" s="3">
        <v>1</v>
      </c>
      <c r="C572" s="3" t="str">
        <f>IF(B572="","",IF(ISNUMBER(VALUE(_xlfn.TEXTBEFORE(B572," "))),_xlfn.XLOOKUP(VALUE(_xlfn.TEXTBEFORE(B572," ")),Legend!$B$11:$B$26,Legend!$A$11:$A$26,"NOT FOUND",0,1),_xlfn.TEXTBEFORE(B572," ")))</f>
        <v/>
      </c>
      <c r="D572" s="3" t="str">
        <f t="shared" si="9"/>
        <v/>
      </c>
      <c r="E572" s="159" t="str">
        <f>IF(C572="","",_xlfn.XLOOKUP(C572,Legend!$A$10:$A$26,Legend!$C$10:$C$26,"NOT FOUND",0,1))</f>
        <v/>
      </c>
      <c r="F572" s="160" t="str">
        <f>IF(C572="","",_xlfn.XLOOKUP(D572,Legend!$A$29:$A$118,Legend!$B$29:$B$118,"NOT FOUND",0,1))</f>
        <v/>
      </c>
      <c r="G572" s="268" t="str">
        <f>IF(C572="","",_xlfn.XLOOKUP(D572,Legend!$A$29:$A$118,Legend!$C$29:$C$118,"NOT FOUND",0,1))</f>
        <v/>
      </c>
    </row>
    <row r="573" spans="1:7" x14ac:dyDescent="0.2">
      <c r="A573" s="3">
        <v>1</v>
      </c>
      <c r="C573" s="3" t="str">
        <f>IF(B573="","",IF(ISNUMBER(VALUE(_xlfn.TEXTBEFORE(B573," "))),_xlfn.XLOOKUP(VALUE(_xlfn.TEXTBEFORE(B573," ")),Legend!$B$11:$B$26,Legend!$A$11:$A$26,"NOT FOUND",0,1),_xlfn.TEXTBEFORE(B573," ")))</f>
        <v/>
      </c>
      <c r="D573" s="3" t="str">
        <f t="shared" si="9"/>
        <v/>
      </c>
      <c r="E573" s="159" t="str">
        <f>IF(C573="","",_xlfn.XLOOKUP(C573,Legend!$A$10:$A$26,Legend!$C$10:$C$26,"NOT FOUND",0,1))</f>
        <v/>
      </c>
      <c r="F573" s="160" t="str">
        <f>IF(C573="","",_xlfn.XLOOKUP(D573,Legend!$A$29:$A$118,Legend!$B$29:$B$118,"NOT FOUND",0,1))</f>
        <v/>
      </c>
      <c r="G573" s="268" t="str">
        <f>IF(C573="","",_xlfn.XLOOKUP(D573,Legend!$A$29:$A$118,Legend!$C$29:$C$118,"NOT FOUND",0,1))</f>
        <v/>
      </c>
    </row>
    <row r="574" spans="1:7" x14ac:dyDescent="0.2">
      <c r="A574" s="3">
        <v>1</v>
      </c>
      <c r="C574" s="3" t="str">
        <f>IF(B574="","",IF(ISNUMBER(VALUE(_xlfn.TEXTBEFORE(B574," "))),_xlfn.XLOOKUP(VALUE(_xlfn.TEXTBEFORE(B574," ")),Legend!$B$11:$B$26,Legend!$A$11:$A$26,"NOT FOUND",0,1),_xlfn.TEXTBEFORE(B574," ")))</f>
        <v/>
      </c>
      <c r="D574" s="3" t="str">
        <f t="shared" si="9"/>
        <v/>
      </c>
      <c r="E574" s="159" t="str">
        <f>IF(C574="","",_xlfn.XLOOKUP(C574,Legend!$A$10:$A$26,Legend!$C$10:$C$26,"NOT FOUND",0,1))</f>
        <v/>
      </c>
      <c r="F574" s="160" t="str">
        <f>IF(C574="","",_xlfn.XLOOKUP(D574,Legend!$A$29:$A$118,Legend!$B$29:$B$118,"NOT FOUND",0,1))</f>
        <v/>
      </c>
      <c r="G574" s="268" t="str">
        <f>IF(C574="","",_xlfn.XLOOKUP(D574,Legend!$A$29:$A$118,Legend!$C$29:$C$118,"NOT FOUND",0,1))</f>
        <v/>
      </c>
    </row>
    <row r="575" spans="1:7" x14ac:dyDescent="0.2">
      <c r="A575" s="3">
        <v>1</v>
      </c>
      <c r="C575" s="3" t="str">
        <f>IF(B575="","",IF(ISNUMBER(VALUE(_xlfn.TEXTBEFORE(B575," "))),_xlfn.XLOOKUP(VALUE(_xlfn.TEXTBEFORE(B575," ")),Legend!$B$11:$B$26,Legend!$A$11:$A$26,"NOT FOUND",0,1),_xlfn.TEXTBEFORE(B575," ")))</f>
        <v/>
      </c>
      <c r="D575" s="3" t="str">
        <f t="shared" si="9"/>
        <v/>
      </c>
      <c r="E575" s="159" t="str">
        <f>IF(C575="","",_xlfn.XLOOKUP(C575,Legend!$A$10:$A$26,Legend!$C$10:$C$26,"NOT FOUND",0,1))</f>
        <v/>
      </c>
      <c r="F575" s="160" t="str">
        <f>IF(C575="","",_xlfn.XLOOKUP(D575,Legend!$A$29:$A$118,Legend!$B$29:$B$118,"NOT FOUND",0,1))</f>
        <v/>
      </c>
      <c r="G575" s="268" t="str">
        <f>IF(C575="","",_xlfn.XLOOKUP(D575,Legend!$A$29:$A$118,Legend!$C$29:$C$118,"NOT FOUND",0,1))</f>
        <v/>
      </c>
    </row>
    <row r="576" spans="1:7" x14ac:dyDescent="0.2">
      <c r="A576" s="3">
        <v>1</v>
      </c>
      <c r="C576" s="3" t="str">
        <f>IF(B576="","",IF(ISNUMBER(VALUE(_xlfn.TEXTBEFORE(B576," "))),_xlfn.XLOOKUP(VALUE(_xlfn.TEXTBEFORE(B576," ")),Legend!$B$11:$B$26,Legend!$A$11:$A$26,"NOT FOUND",0,1),_xlfn.TEXTBEFORE(B576," ")))</f>
        <v/>
      </c>
      <c r="D576" s="3" t="str">
        <f t="shared" si="9"/>
        <v/>
      </c>
      <c r="E576" s="159" t="str">
        <f>IF(C576="","",_xlfn.XLOOKUP(C576,Legend!$A$10:$A$26,Legend!$C$10:$C$26,"NOT FOUND",0,1))</f>
        <v/>
      </c>
      <c r="F576" s="160" t="str">
        <f>IF(C576="","",_xlfn.XLOOKUP(D576,Legend!$A$29:$A$118,Legend!$B$29:$B$118,"NOT FOUND",0,1))</f>
        <v/>
      </c>
      <c r="G576" s="268" t="str">
        <f>IF(C576="","",_xlfn.XLOOKUP(D576,Legend!$A$29:$A$118,Legend!$C$29:$C$118,"NOT FOUND",0,1))</f>
        <v/>
      </c>
    </row>
    <row r="577" spans="1:7" x14ac:dyDescent="0.2">
      <c r="A577" s="3">
        <v>1</v>
      </c>
      <c r="C577" s="3" t="str">
        <f>IF(B577="","",IF(ISNUMBER(VALUE(_xlfn.TEXTBEFORE(B577," "))),_xlfn.XLOOKUP(VALUE(_xlfn.TEXTBEFORE(B577," ")),Legend!$B$11:$B$26,Legend!$A$11:$A$26,"NOT FOUND",0,1),_xlfn.TEXTBEFORE(B577," ")))</f>
        <v/>
      </c>
      <c r="D577" s="3" t="str">
        <f t="shared" si="9"/>
        <v/>
      </c>
      <c r="E577" s="159" t="str">
        <f>IF(C577="","",_xlfn.XLOOKUP(C577,Legend!$A$10:$A$26,Legend!$C$10:$C$26,"NOT FOUND",0,1))</f>
        <v/>
      </c>
      <c r="F577" s="160" t="str">
        <f>IF(C577="","",_xlfn.XLOOKUP(D577,Legend!$A$29:$A$118,Legend!$B$29:$B$118,"NOT FOUND",0,1))</f>
        <v/>
      </c>
      <c r="G577" s="268" t="str">
        <f>IF(C577="","",_xlfn.XLOOKUP(D577,Legend!$A$29:$A$118,Legend!$C$29:$C$118,"NOT FOUND",0,1))</f>
        <v/>
      </c>
    </row>
    <row r="578" spans="1:7" x14ac:dyDescent="0.2">
      <c r="A578" s="3">
        <v>1</v>
      </c>
      <c r="C578" s="3" t="str">
        <f>IF(B578="","",IF(ISNUMBER(VALUE(_xlfn.TEXTBEFORE(B578," "))),_xlfn.XLOOKUP(VALUE(_xlfn.TEXTBEFORE(B578," ")),Legend!$B$11:$B$26,Legend!$A$11:$A$26,"NOT FOUND",0,1),_xlfn.TEXTBEFORE(B578," ")))</f>
        <v/>
      </c>
      <c r="D578" s="3" t="str">
        <f t="shared" si="9"/>
        <v/>
      </c>
      <c r="E578" s="159" t="str">
        <f>IF(C578="","",_xlfn.XLOOKUP(C578,Legend!$A$10:$A$26,Legend!$C$10:$C$26,"NOT FOUND",0,1))</f>
        <v/>
      </c>
      <c r="F578" s="160" t="str">
        <f>IF(C578="","",_xlfn.XLOOKUP(D578,Legend!$A$29:$A$118,Legend!$B$29:$B$118,"NOT FOUND",0,1))</f>
        <v/>
      </c>
      <c r="G578" s="268" t="str">
        <f>IF(C578="","",_xlfn.XLOOKUP(D578,Legend!$A$29:$A$118,Legend!$C$29:$C$118,"NOT FOUND",0,1))</f>
        <v/>
      </c>
    </row>
    <row r="579" spans="1:7" x14ac:dyDescent="0.2">
      <c r="A579" s="3">
        <v>1</v>
      </c>
      <c r="C579" s="3" t="str">
        <f>IF(B579="","",IF(ISNUMBER(VALUE(_xlfn.TEXTBEFORE(B579," "))),_xlfn.XLOOKUP(VALUE(_xlfn.TEXTBEFORE(B579," ")),Legend!$B$11:$B$26,Legend!$A$11:$A$26,"NOT FOUND",0,1),_xlfn.TEXTBEFORE(B579," ")))</f>
        <v/>
      </c>
      <c r="D579" s="3" t="str">
        <f t="shared" si="9"/>
        <v/>
      </c>
      <c r="E579" s="159" t="str">
        <f>IF(C579="","",_xlfn.XLOOKUP(C579,Legend!$A$10:$A$26,Legend!$C$10:$C$26,"NOT FOUND",0,1))</f>
        <v/>
      </c>
      <c r="F579" s="160" t="str">
        <f>IF(C579="","",_xlfn.XLOOKUP(D579,Legend!$A$29:$A$118,Legend!$B$29:$B$118,"NOT FOUND",0,1))</f>
        <v/>
      </c>
      <c r="G579" s="268" t="str">
        <f>IF(C579="","",_xlfn.XLOOKUP(D579,Legend!$A$29:$A$118,Legend!$C$29:$C$118,"NOT FOUND",0,1))</f>
        <v/>
      </c>
    </row>
    <row r="580" spans="1:7" x14ac:dyDescent="0.2">
      <c r="A580" s="3">
        <v>1</v>
      </c>
      <c r="C580" s="3" t="str">
        <f>IF(B580="","",IF(ISNUMBER(VALUE(_xlfn.TEXTBEFORE(B580," "))),_xlfn.XLOOKUP(VALUE(_xlfn.TEXTBEFORE(B580," ")),Legend!$B$11:$B$26,Legend!$A$11:$A$26,"NOT FOUND",0,1),_xlfn.TEXTBEFORE(B580," ")))</f>
        <v/>
      </c>
      <c r="D580" s="3" t="str">
        <f t="shared" ref="D580:D581" si="10">IF(B580="","",_xlfn.TEXTAFTER(B580," "))</f>
        <v/>
      </c>
      <c r="E580" s="159" t="str">
        <f>IF(C580="","",_xlfn.XLOOKUP(C580,Legend!$A$10:$A$26,Legend!$C$10:$C$26,"NOT FOUND",0,1))</f>
        <v/>
      </c>
      <c r="F580" s="160" t="str">
        <f>IF(C580="","",_xlfn.XLOOKUP(D580,Legend!$A$29:$A$118,Legend!$B$29:$B$118,"NOT FOUND",0,1))</f>
        <v/>
      </c>
      <c r="G580" s="268" t="str">
        <f>IF(C580="","",_xlfn.XLOOKUP(D580,Legend!$A$29:$A$118,Legend!$C$29:$C$118,"NOT FOUND",0,1))</f>
        <v/>
      </c>
    </row>
    <row r="581" spans="1:7" x14ac:dyDescent="0.2">
      <c r="A581" s="3">
        <v>1</v>
      </c>
      <c r="C581" s="3" t="str">
        <f>IF(B581="","",IF(ISNUMBER(VALUE(_xlfn.TEXTBEFORE(B581," "))),_xlfn.XLOOKUP(VALUE(_xlfn.TEXTBEFORE(B581," ")),Legend!$B$11:$B$26,Legend!$A$11:$A$26,"NOT FOUND",0,1),_xlfn.TEXTBEFORE(B581," ")))</f>
        <v/>
      </c>
      <c r="D581" s="3" t="str">
        <f t="shared" si="10"/>
        <v/>
      </c>
      <c r="E581" s="159" t="str">
        <f>IF(C581="","",_xlfn.XLOOKUP(C581,Legend!$A$10:$A$26,Legend!$C$10:$C$26,"NOT FOUND",0,1))</f>
        <v/>
      </c>
      <c r="F581" s="160" t="str">
        <f>IF(C581="","",_xlfn.XLOOKUP(D581,Legend!$A$29:$A$118,Legend!$B$29:$B$118,"NOT FOUND",0,1))</f>
        <v/>
      </c>
      <c r="G581" s="268" t="str">
        <f>IF(C581="","",_xlfn.XLOOKUP(D581,Legend!$A$29:$A$118,Legend!$C$29:$C$118,"NOT FOUND",0,1))</f>
        <v/>
      </c>
    </row>
    <row r="582" spans="1:7" x14ac:dyDescent="0.2">
      <c r="A582" s="3">
        <v>1</v>
      </c>
      <c r="C582" s="3" t="str">
        <f>IF(B582="","",IF(ISNUMBER(VALUE(_xlfn.TEXTBEFORE(B582," "))),_xlfn.XLOOKUP(VALUE(_xlfn.TEXTBEFORE(B582," ")),Legend!$B$11:$B$26,Legend!$A$11:$A$26,"NOT FOUND",0,1),_xlfn.TEXTBEFORE(B582," ")))</f>
        <v/>
      </c>
      <c r="D582" s="3" t="str">
        <f t="shared" ref="D582:D645" si="11">IF(B582="","",_xlfn.TEXTAFTER(B582," "))</f>
        <v/>
      </c>
      <c r="E582" s="159" t="str">
        <f>IF(C582="","",_xlfn.XLOOKUP(C582,Legend!$A$10:$A$26,Legend!$C$10:$C$26,"NOT FOUND",0,1))</f>
        <v/>
      </c>
      <c r="F582" s="160" t="str">
        <f>IF(C582="","",_xlfn.XLOOKUP(D582,Legend!$A$29:$A$118,Legend!$B$29:$B$118,"NOT FOUND",0,1))</f>
        <v/>
      </c>
      <c r="G582" s="268" t="str">
        <f>IF(C582="","",_xlfn.XLOOKUP(D582,Legend!$A$29:$A$118,Legend!$C$29:$C$118,"NOT FOUND",0,1))</f>
        <v/>
      </c>
    </row>
    <row r="583" spans="1:7" x14ac:dyDescent="0.2">
      <c r="A583" s="3">
        <v>1</v>
      </c>
      <c r="C583" s="3" t="str">
        <f>IF(B583="","",IF(ISNUMBER(VALUE(_xlfn.TEXTBEFORE(B583," "))),_xlfn.XLOOKUP(VALUE(_xlfn.TEXTBEFORE(B583," ")),Legend!$B$11:$B$26,Legend!$A$11:$A$26,"NOT FOUND",0,1),_xlfn.TEXTBEFORE(B583," ")))</f>
        <v/>
      </c>
      <c r="D583" s="3" t="str">
        <f t="shared" si="11"/>
        <v/>
      </c>
      <c r="E583" s="159" t="str">
        <f>IF(C583="","",_xlfn.XLOOKUP(C583,Legend!$A$10:$A$26,Legend!$C$10:$C$26,"NOT FOUND",0,1))</f>
        <v/>
      </c>
      <c r="F583" s="160" t="str">
        <f>IF(C583="","",_xlfn.XLOOKUP(D583,Legend!$A$29:$A$118,Legend!$B$29:$B$118,"NOT FOUND",0,1))</f>
        <v/>
      </c>
      <c r="G583" s="268" t="str">
        <f>IF(C583="","",_xlfn.XLOOKUP(D583,Legend!$A$29:$A$118,Legend!$C$29:$C$118,"NOT FOUND",0,1))</f>
        <v/>
      </c>
    </row>
    <row r="584" spans="1:7" x14ac:dyDescent="0.2">
      <c r="A584" s="3">
        <v>1</v>
      </c>
      <c r="C584" s="3" t="str">
        <f>IF(B584="","",IF(ISNUMBER(VALUE(_xlfn.TEXTBEFORE(B584," "))),_xlfn.XLOOKUP(VALUE(_xlfn.TEXTBEFORE(B584," ")),Legend!$B$11:$B$26,Legend!$A$11:$A$26,"NOT FOUND",0,1),_xlfn.TEXTBEFORE(B584," ")))</f>
        <v/>
      </c>
      <c r="D584" s="3" t="str">
        <f t="shared" si="11"/>
        <v/>
      </c>
      <c r="E584" s="159" t="str">
        <f>IF(C584="","",_xlfn.XLOOKUP(C584,Legend!$A$10:$A$26,Legend!$C$10:$C$26,"NOT FOUND",0,1))</f>
        <v/>
      </c>
      <c r="F584" s="160" t="str">
        <f>IF(C584="","",_xlfn.XLOOKUP(D584,Legend!$A$29:$A$118,Legend!$B$29:$B$118,"NOT FOUND",0,1))</f>
        <v/>
      </c>
      <c r="G584" s="268" t="str">
        <f>IF(C584="","",_xlfn.XLOOKUP(D584,Legend!$A$29:$A$118,Legend!$C$29:$C$118,"NOT FOUND",0,1))</f>
        <v/>
      </c>
    </row>
    <row r="585" spans="1:7" x14ac:dyDescent="0.2">
      <c r="A585" s="3">
        <v>1</v>
      </c>
      <c r="C585" s="3" t="str">
        <f>IF(B585="","",IF(ISNUMBER(VALUE(_xlfn.TEXTBEFORE(B585," "))),_xlfn.XLOOKUP(VALUE(_xlfn.TEXTBEFORE(B585," ")),Legend!$B$11:$B$26,Legend!$A$11:$A$26,"NOT FOUND",0,1),_xlfn.TEXTBEFORE(B585," ")))</f>
        <v/>
      </c>
      <c r="D585" s="3" t="str">
        <f t="shared" si="11"/>
        <v/>
      </c>
      <c r="E585" s="159" t="str">
        <f>IF(C585="","",_xlfn.XLOOKUP(C585,Legend!$A$10:$A$26,Legend!$C$10:$C$26,"NOT FOUND",0,1))</f>
        <v/>
      </c>
      <c r="F585" s="160" t="str">
        <f>IF(C585="","",_xlfn.XLOOKUP(D585,Legend!$A$29:$A$118,Legend!$B$29:$B$118,"NOT FOUND",0,1))</f>
        <v/>
      </c>
      <c r="G585" s="268" t="str">
        <f>IF(C585="","",_xlfn.XLOOKUP(D585,Legend!$A$29:$A$118,Legend!$C$29:$C$118,"NOT FOUND",0,1))</f>
        <v/>
      </c>
    </row>
    <row r="586" spans="1:7" x14ac:dyDescent="0.2">
      <c r="A586" s="3">
        <v>1</v>
      </c>
      <c r="C586" s="3" t="str">
        <f>IF(B586="","",IF(ISNUMBER(VALUE(_xlfn.TEXTBEFORE(B586," "))),_xlfn.XLOOKUP(VALUE(_xlfn.TEXTBEFORE(B586," ")),Legend!$B$11:$B$26,Legend!$A$11:$A$26,"NOT FOUND",0,1),_xlfn.TEXTBEFORE(B586," ")))</f>
        <v/>
      </c>
      <c r="D586" s="3" t="str">
        <f t="shared" si="11"/>
        <v/>
      </c>
      <c r="E586" s="159" t="str">
        <f>IF(C586="","",_xlfn.XLOOKUP(C586,Legend!$A$10:$A$26,Legend!$C$10:$C$26,"NOT FOUND",0,1))</f>
        <v/>
      </c>
      <c r="F586" s="160" t="str">
        <f>IF(C586="","",_xlfn.XLOOKUP(D586,Legend!$A$29:$A$118,Legend!$B$29:$B$118,"NOT FOUND",0,1))</f>
        <v/>
      </c>
      <c r="G586" s="268" t="str">
        <f>IF(C586="","",_xlfn.XLOOKUP(D586,Legend!$A$29:$A$118,Legend!$C$29:$C$118,"NOT FOUND",0,1))</f>
        <v/>
      </c>
    </row>
    <row r="587" spans="1:7" x14ac:dyDescent="0.2">
      <c r="A587" s="3">
        <v>1</v>
      </c>
      <c r="C587" s="3" t="str">
        <f>IF(B587="","",IF(ISNUMBER(VALUE(_xlfn.TEXTBEFORE(B587," "))),_xlfn.XLOOKUP(VALUE(_xlfn.TEXTBEFORE(B587," ")),Legend!$B$11:$B$26,Legend!$A$11:$A$26,"NOT FOUND",0,1),_xlfn.TEXTBEFORE(B587," ")))</f>
        <v/>
      </c>
      <c r="D587" s="3" t="str">
        <f t="shared" si="11"/>
        <v/>
      </c>
      <c r="E587" s="159" t="str">
        <f>IF(C587="","",_xlfn.XLOOKUP(C587,Legend!$A$10:$A$26,Legend!$C$10:$C$26,"NOT FOUND",0,1))</f>
        <v/>
      </c>
      <c r="F587" s="160" t="str">
        <f>IF(C587="","",_xlfn.XLOOKUP(D587,Legend!$A$29:$A$118,Legend!$B$29:$B$118,"NOT FOUND",0,1))</f>
        <v/>
      </c>
      <c r="G587" s="268" t="str">
        <f>IF(C587="","",_xlfn.XLOOKUP(D587,Legend!$A$29:$A$118,Legend!$C$29:$C$118,"NOT FOUND",0,1))</f>
        <v/>
      </c>
    </row>
    <row r="588" spans="1:7" x14ac:dyDescent="0.2">
      <c r="A588" s="3">
        <v>1</v>
      </c>
      <c r="C588" s="3" t="str">
        <f>IF(B588="","",IF(ISNUMBER(VALUE(_xlfn.TEXTBEFORE(B588," "))),_xlfn.XLOOKUP(VALUE(_xlfn.TEXTBEFORE(B588," ")),Legend!$B$11:$B$26,Legend!$A$11:$A$26,"NOT FOUND",0,1),_xlfn.TEXTBEFORE(B588," ")))</f>
        <v/>
      </c>
      <c r="D588" s="3" t="str">
        <f t="shared" si="11"/>
        <v/>
      </c>
      <c r="E588" s="159" t="str">
        <f>IF(C588="","",_xlfn.XLOOKUP(C588,Legend!$A$10:$A$26,Legend!$C$10:$C$26,"NOT FOUND",0,1))</f>
        <v/>
      </c>
      <c r="F588" s="160" t="str">
        <f>IF(C588="","",_xlfn.XLOOKUP(D588,Legend!$A$29:$A$118,Legend!$B$29:$B$118,"NOT FOUND",0,1))</f>
        <v/>
      </c>
      <c r="G588" s="268" t="str">
        <f>IF(C588="","",_xlfn.XLOOKUP(D588,Legend!$A$29:$A$118,Legend!$C$29:$C$118,"NOT FOUND",0,1))</f>
        <v/>
      </c>
    </row>
    <row r="589" spans="1:7" x14ac:dyDescent="0.2">
      <c r="A589" s="3">
        <v>1</v>
      </c>
      <c r="C589" s="3" t="str">
        <f>IF(B589="","",IF(ISNUMBER(VALUE(_xlfn.TEXTBEFORE(B589," "))),_xlfn.XLOOKUP(VALUE(_xlfn.TEXTBEFORE(B589," ")),Legend!$B$11:$B$26,Legend!$A$11:$A$26,"NOT FOUND",0,1),_xlfn.TEXTBEFORE(B589," ")))</f>
        <v/>
      </c>
      <c r="D589" s="3" t="str">
        <f t="shared" si="11"/>
        <v/>
      </c>
      <c r="E589" s="159" t="str">
        <f>IF(C589="","",_xlfn.XLOOKUP(C589,Legend!$A$10:$A$26,Legend!$C$10:$C$26,"NOT FOUND",0,1))</f>
        <v/>
      </c>
      <c r="F589" s="160" t="str">
        <f>IF(C589="","",_xlfn.XLOOKUP(D589,Legend!$A$29:$A$118,Legend!$B$29:$B$118,"NOT FOUND",0,1))</f>
        <v/>
      </c>
      <c r="G589" s="268" t="str">
        <f>IF(C589="","",_xlfn.XLOOKUP(D589,Legend!$A$29:$A$118,Legend!$C$29:$C$118,"NOT FOUND",0,1))</f>
        <v/>
      </c>
    </row>
    <row r="590" spans="1:7" x14ac:dyDescent="0.2">
      <c r="A590" s="3">
        <v>1</v>
      </c>
      <c r="C590" s="3" t="str">
        <f>IF(B590="","",IF(ISNUMBER(VALUE(_xlfn.TEXTBEFORE(B590," "))),_xlfn.XLOOKUP(VALUE(_xlfn.TEXTBEFORE(B590," ")),Legend!$B$11:$B$26,Legend!$A$11:$A$26,"NOT FOUND",0,1),_xlfn.TEXTBEFORE(B590," ")))</f>
        <v/>
      </c>
      <c r="D590" s="3" t="str">
        <f t="shared" si="11"/>
        <v/>
      </c>
      <c r="E590" s="159" t="str">
        <f>IF(C590="","",_xlfn.XLOOKUP(C590,Legend!$A$10:$A$26,Legend!$C$10:$C$26,"NOT FOUND",0,1))</f>
        <v/>
      </c>
      <c r="F590" s="160" t="str">
        <f>IF(C590="","",_xlfn.XLOOKUP(D590,Legend!$A$29:$A$118,Legend!$B$29:$B$118,"NOT FOUND",0,1))</f>
        <v/>
      </c>
      <c r="G590" s="268" t="str">
        <f>IF(C590="","",_xlfn.XLOOKUP(D590,Legend!$A$29:$A$118,Legend!$C$29:$C$118,"NOT FOUND",0,1))</f>
        <v/>
      </c>
    </row>
    <row r="591" spans="1:7" x14ac:dyDescent="0.2">
      <c r="A591" s="3">
        <v>1</v>
      </c>
      <c r="C591" s="3" t="str">
        <f>IF(B591="","",IF(ISNUMBER(VALUE(_xlfn.TEXTBEFORE(B591," "))),_xlfn.XLOOKUP(VALUE(_xlfn.TEXTBEFORE(B591," ")),Legend!$B$11:$B$26,Legend!$A$11:$A$26,"NOT FOUND",0,1),_xlfn.TEXTBEFORE(B591," ")))</f>
        <v/>
      </c>
      <c r="D591" s="3" t="str">
        <f t="shared" si="11"/>
        <v/>
      </c>
      <c r="E591" s="159" t="str">
        <f>IF(C591="","",_xlfn.XLOOKUP(C591,Legend!$A$10:$A$26,Legend!$C$10:$C$26,"NOT FOUND",0,1))</f>
        <v/>
      </c>
      <c r="F591" s="160" t="str">
        <f>IF(C591="","",_xlfn.XLOOKUP(D591,Legend!$A$29:$A$118,Legend!$B$29:$B$118,"NOT FOUND",0,1))</f>
        <v/>
      </c>
      <c r="G591" s="268" t="str">
        <f>IF(C591="","",_xlfn.XLOOKUP(D591,Legend!$A$29:$A$118,Legend!$C$29:$C$118,"NOT FOUND",0,1))</f>
        <v/>
      </c>
    </row>
    <row r="592" spans="1:7" x14ac:dyDescent="0.2">
      <c r="A592" s="3">
        <v>1</v>
      </c>
      <c r="C592" s="3" t="str">
        <f>IF(B592="","",IF(ISNUMBER(VALUE(_xlfn.TEXTBEFORE(B592," "))),_xlfn.XLOOKUP(VALUE(_xlfn.TEXTBEFORE(B592," ")),Legend!$B$11:$B$26,Legend!$A$11:$A$26,"NOT FOUND",0,1),_xlfn.TEXTBEFORE(B592," ")))</f>
        <v/>
      </c>
      <c r="D592" s="3" t="str">
        <f t="shared" si="11"/>
        <v/>
      </c>
      <c r="E592" s="159" t="str">
        <f>IF(C592="","",_xlfn.XLOOKUP(C592,Legend!$A$10:$A$26,Legend!$C$10:$C$26,"NOT FOUND",0,1))</f>
        <v/>
      </c>
      <c r="F592" s="160" t="str">
        <f>IF(C592="","",_xlfn.XLOOKUP(D592,Legend!$A$29:$A$118,Legend!$B$29:$B$118,"NOT FOUND",0,1))</f>
        <v/>
      </c>
      <c r="G592" s="268" t="str">
        <f>IF(C592="","",_xlfn.XLOOKUP(D592,Legend!$A$29:$A$118,Legend!$C$29:$C$118,"NOT FOUND",0,1))</f>
        <v/>
      </c>
    </row>
    <row r="593" spans="1:7" x14ac:dyDescent="0.2">
      <c r="A593" s="3">
        <v>1</v>
      </c>
      <c r="C593" s="3" t="str">
        <f>IF(B593="","",IF(ISNUMBER(VALUE(_xlfn.TEXTBEFORE(B593," "))),_xlfn.XLOOKUP(VALUE(_xlfn.TEXTBEFORE(B593," ")),Legend!$B$11:$B$26,Legend!$A$11:$A$26,"NOT FOUND",0,1),_xlfn.TEXTBEFORE(B593," ")))</f>
        <v/>
      </c>
      <c r="D593" s="3" t="str">
        <f t="shared" si="11"/>
        <v/>
      </c>
      <c r="E593" s="159" t="str">
        <f>IF(C593="","",_xlfn.XLOOKUP(C593,Legend!$A$10:$A$26,Legend!$C$10:$C$26,"NOT FOUND",0,1))</f>
        <v/>
      </c>
      <c r="F593" s="160" t="str">
        <f>IF(C593="","",_xlfn.XLOOKUP(D593,Legend!$A$29:$A$118,Legend!$B$29:$B$118,"NOT FOUND",0,1))</f>
        <v/>
      </c>
      <c r="G593" s="268" t="str">
        <f>IF(C593="","",_xlfn.XLOOKUP(D593,Legend!$A$29:$A$118,Legend!$C$29:$C$118,"NOT FOUND",0,1))</f>
        <v/>
      </c>
    </row>
    <row r="594" spans="1:7" x14ac:dyDescent="0.2">
      <c r="A594" s="3">
        <v>1</v>
      </c>
      <c r="C594" s="3" t="str">
        <f>IF(B594="","",IF(ISNUMBER(VALUE(_xlfn.TEXTBEFORE(B594," "))),_xlfn.XLOOKUP(VALUE(_xlfn.TEXTBEFORE(B594," ")),Legend!$B$11:$B$26,Legend!$A$11:$A$26,"NOT FOUND",0,1),_xlfn.TEXTBEFORE(B594," ")))</f>
        <v/>
      </c>
      <c r="D594" s="3" t="str">
        <f t="shared" si="11"/>
        <v/>
      </c>
      <c r="E594" s="159" t="str">
        <f>IF(C594="","",_xlfn.XLOOKUP(C594,Legend!$A$10:$A$26,Legend!$C$10:$C$26,"NOT FOUND",0,1))</f>
        <v/>
      </c>
      <c r="F594" s="160" t="str">
        <f>IF(C594="","",_xlfn.XLOOKUP(D594,Legend!$A$29:$A$118,Legend!$B$29:$B$118,"NOT FOUND",0,1))</f>
        <v/>
      </c>
      <c r="G594" s="268" t="str">
        <f>IF(C594="","",_xlfn.XLOOKUP(D594,Legend!$A$29:$A$118,Legend!$C$29:$C$118,"NOT FOUND",0,1))</f>
        <v/>
      </c>
    </row>
    <row r="595" spans="1:7" x14ac:dyDescent="0.2">
      <c r="A595" s="3">
        <v>1</v>
      </c>
      <c r="C595" s="3" t="str">
        <f>IF(B595="","",IF(ISNUMBER(VALUE(_xlfn.TEXTBEFORE(B595," "))),_xlfn.XLOOKUP(VALUE(_xlfn.TEXTBEFORE(B595," ")),Legend!$B$11:$B$26,Legend!$A$11:$A$26,"NOT FOUND",0,1),_xlfn.TEXTBEFORE(B595," ")))</f>
        <v/>
      </c>
      <c r="D595" s="3" t="str">
        <f t="shared" si="11"/>
        <v/>
      </c>
      <c r="E595" s="159" t="str">
        <f>IF(C595="","",_xlfn.XLOOKUP(C595,Legend!$A$10:$A$26,Legend!$C$10:$C$26,"NOT FOUND",0,1))</f>
        <v/>
      </c>
      <c r="F595" s="160" t="str">
        <f>IF(C595="","",_xlfn.XLOOKUP(D595,Legend!$A$29:$A$118,Legend!$B$29:$B$118,"NOT FOUND",0,1))</f>
        <v/>
      </c>
      <c r="G595" s="268" t="str">
        <f>IF(C595="","",_xlfn.XLOOKUP(D595,Legend!$A$29:$A$118,Legend!$C$29:$C$118,"NOT FOUND",0,1))</f>
        <v/>
      </c>
    </row>
    <row r="596" spans="1:7" x14ac:dyDescent="0.2">
      <c r="A596" s="3">
        <v>1</v>
      </c>
      <c r="C596" s="3" t="str">
        <f>IF(B596="","",IF(ISNUMBER(VALUE(_xlfn.TEXTBEFORE(B596," "))),_xlfn.XLOOKUP(VALUE(_xlfn.TEXTBEFORE(B596," ")),Legend!$B$11:$B$26,Legend!$A$11:$A$26,"NOT FOUND",0,1),_xlfn.TEXTBEFORE(B596," ")))</f>
        <v/>
      </c>
      <c r="D596" s="3" t="str">
        <f t="shared" si="11"/>
        <v/>
      </c>
      <c r="E596" s="159" t="str">
        <f>IF(C596="","",_xlfn.XLOOKUP(C596,Legend!$A$10:$A$26,Legend!$C$10:$C$26,"NOT FOUND",0,1))</f>
        <v/>
      </c>
      <c r="F596" s="160" t="str">
        <f>IF(C596="","",_xlfn.XLOOKUP(D596,Legend!$A$29:$A$118,Legend!$B$29:$B$118,"NOT FOUND",0,1))</f>
        <v/>
      </c>
      <c r="G596" s="268" t="str">
        <f>IF(C596="","",_xlfn.XLOOKUP(D596,Legend!$A$29:$A$118,Legend!$C$29:$C$118,"NOT FOUND",0,1))</f>
        <v/>
      </c>
    </row>
    <row r="597" spans="1:7" x14ac:dyDescent="0.2">
      <c r="A597" s="3">
        <v>1</v>
      </c>
      <c r="C597" s="3" t="str">
        <f>IF(B597="","",IF(ISNUMBER(VALUE(_xlfn.TEXTBEFORE(B597," "))),_xlfn.XLOOKUP(VALUE(_xlfn.TEXTBEFORE(B597," ")),Legend!$B$11:$B$26,Legend!$A$11:$A$26,"NOT FOUND",0,1),_xlfn.TEXTBEFORE(B597," ")))</f>
        <v/>
      </c>
      <c r="D597" s="3" t="str">
        <f t="shared" si="11"/>
        <v/>
      </c>
      <c r="E597" s="159" t="str">
        <f>IF(C597="","",_xlfn.XLOOKUP(C597,Legend!$A$10:$A$26,Legend!$C$10:$C$26,"NOT FOUND",0,1))</f>
        <v/>
      </c>
      <c r="F597" s="160" t="str">
        <f>IF(C597="","",_xlfn.XLOOKUP(D597,Legend!$A$29:$A$118,Legend!$B$29:$B$118,"NOT FOUND",0,1))</f>
        <v/>
      </c>
      <c r="G597" s="268" t="str">
        <f>IF(C597="","",_xlfn.XLOOKUP(D597,Legend!$A$29:$A$118,Legend!$C$29:$C$118,"NOT FOUND",0,1))</f>
        <v/>
      </c>
    </row>
    <row r="598" spans="1:7" x14ac:dyDescent="0.2">
      <c r="A598" s="3">
        <v>1</v>
      </c>
      <c r="C598" s="3" t="str">
        <f>IF(B598="","",IF(ISNUMBER(VALUE(_xlfn.TEXTBEFORE(B598," "))),_xlfn.XLOOKUP(VALUE(_xlfn.TEXTBEFORE(B598," ")),Legend!$B$11:$B$26,Legend!$A$11:$A$26,"NOT FOUND",0,1),_xlfn.TEXTBEFORE(B598," ")))</f>
        <v/>
      </c>
      <c r="D598" s="3" t="str">
        <f t="shared" si="11"/>
        <v/>
      </c>
      <c r="E598" s="159" t="str">
        <f>IF(C598="","",_xlfn.XLOOKUP(C598,Legend!$A$10:$A$26,Legend!$C$10:$C$26,"NOT FOUND",0,1))</f>
        <v/>
      </c>
      <c r="F598" s="160" t="str">
        <f>IF(C598="","",_xlfn.XLOOKUP(D598,Legend!$A$29:$A$118,Legend!$B$29:$B$118,"NOT FOUND",0,1))</f>
        <v/>
      </c>
      <c r="G598" s="268" t="str">
        <f>IF(C598="","",_xlfn.XLOOKUP(D598,Legend!$A$29:$A$118,Legend!$C$29:$C$118,"NOT FOUND",0,1))</f>
        <v/>
      </c>
    </row>
    <row r="599" spans="1:7" x14ac:dyDescent="0.2">
      <c r="A599" s="3">
        <v>1</v>
      </c>
      <c r="C599" s="3" t="str">
        <f>IF(B599="","",IF(ISNUMBER(VALUE(_xlfn.TEXTBEFORE(B599," "))),_xlfn.XLOOKUP(VALUE(_xlfn.TEXTBEFORE(B599," ")),Legend!$B$11:$B$26,Legend!$A$11:$A$26,"NOT FOUND",0,1),_xlfn.TEXTBEFORE(B599," ")))</f>
        <v/>
      </c>
      <c r="D599" s="3" t="str">
        <f t="shared" si="11"/>
        <v/>
      </c>
      <c r="E599" s="159" t="str">
        <f>IF(C599="","",_xlfn.XLOOKUP(C599,Legend!$A$10:$A$26,Legend!$C$10:$C$26,"NOT FOUND",0,1))</f>
        <v/>
      </c>
      <c r="F599" s="160" t="str">
        <f>IF(C599="","",_xlfn.XLOOKUP(D599,Legend!$A$29:$A$118,Legend!$B$29:$B$118,"NOT FOUND",0,1))</f>
        <v/>
      </c>
      <c r="G599" s="268" t="str">
        <f>IF(C599="","",_xlfn.XLOOKUP(D599,Legend!$A$29:$A$118,Legend!$C$29:$C$118,"NOT FOUND",0,1))</f>
        <v/>
      </c>
    </row>
    <row r="600" spans="1:7" x14ac:dyDescent="0.2">
      <c r="A600" s="3">
        <v>1</v>
      </c>
      <c r="C600" s="3" t="str">
        <f>IF(B600="","",IF(ISNUMBER(VALUE(_xlfn.TEXTBEFORE(B600," "))),_xlfn.XLOOKUP(VALUE(_xlfn.TEXTBEFORE(B600," ")),Legend!$B$11:$B$26,Legend!$A$11:$A$26,"NOT FOUND",0,1),_xlfn.TEXTBEFORE(B600," ")))</f>
        <v/>
      </c>
      <c r="D600" s="3" t="str">
        <f t="shared" si="11"/>
        <v/>
      </c>
      <c r="E600" s="159" t="str">
        <f>IF(C600="","",_xlfn.XLOOKUP(C600,Legend!$A$10:$A$26,Legend!$C$10:$C$26,"NOT FOUND",0,1))</f>
        <v/>
      </c>
      <c r="F600" s="160" t="str">
        <f>IF(C600="","",_xlfn.XLOOKUP(D600,Legend!$A$29:$A$118,Legend!$B$29:$B$118,"NOT FOUND",0,1))</f>
        <v/>
      </c>
      <c r="G600" s="268" t="str">
        <f>IF(C600="","",_xlfn.XLOOKUP(D600,Legend!$A$29:$A$118,Legend!$C$29:$C$118,"NOT FOUND",0,1))</f>
        <v/>
      </c>
    </row>
    <row r="601" spans="1:7" x14ac:dyDescent="0.2">
      <c r="A601" s="3">
        <v>1</v>
      </c>
      <c r="C601" s="3" t="str">
        <f>IF(B601="","",IF(ISNUMBER(VALUE(_xlfn.TEXTBEFORE(B601," "))),_xlfn.XLOOKUP(VALUE(_xlfn.TEXTBEFORE(B601," ")),Legend!$B$11:$B$26,Legend!$A$11:$A$26,"NOT FOUND",0,1),_xlfn.TEXTBEFORE(B601," ")))</f>
        <v/>
      </c>
      <c r="D601" s="3" t="str">
        <f t="shared" si="11"/>
        <v/>
      </c>
      <c r="E601" s="159" t="str">
        <f>IF(C601="","",_xlfn.XLOOKUP(C601,Legend!$A$10:$A$26,Legend!$C$10:$C$26,"NOT FOUND",0,1))</f>
        <v/>
      </c>
      <c r="F601" s="160" t="str">
        <f>IF(C601="","",_xlfn.XLOOKUP(D601,Legend!$A$29:$A$118,Legend!$B$29:$B$118,"NOT FOUND",0,1))</f>
        <v/>
      </c>
      <c r="G601" s="268" t="str">
        <f>IF(C601="","",_xlfn.XLOOKUP(D601,Legend!$A$29:$A$118,Legend!$C$29:$C$118,"NOT FOUND",0,1))</f>
        <v/>
      </c>
    </row>
    <row r="602" spans="1:7" x14ac:dyDescent="0.2">
      <c r="A602" s="3">
        <v>1</v>
      </c>
      <c r="C602" s="3" t="str">
        <f>IF(B602="","",IF(ISNUMBER(VALUE(_xlfn.TEXTBEFORE(B602," "))),_xlfn.XLOOKUP(VALUE(_xlfn.TEXTBEFORE(B602," ")),Legend!$B$11:$B$26,Legend!$A$11:$A$26,"NOT FOUND",0,1),_xlfn.TEXTBEFORE(B602," ")))</f>
        <v/>
      </c>
      <c r="D602" s="3" t="str">
        <f t="shared" si="11"/>
        <v/>
      </c>
      <c r="E602" s="159" t="str">
        <f>IF(C602="","",_xlfn.XLOOKUP(C602,Legend!$A$10:$A$26,Legend!$C$10:$C$26,"NOT FOUND",0,1))</f>
        <v/>
      </c>
      <c r="F602" s="160" t="str">
        <f>IF(C602="","",_xlfn.XLOOKUP(D602,Legend!$A$29:$A$118,Legend!$B$29:$B$118,"NOT FOUND",0,1))</f>
        <v/>
      </c>
      <c r="G602" s="268" t="str">
        <f>IF(C602="","",_xlfn.XLOOKUP(D602,Legend!$A$29:$A$118,Legend!$C$29:$C$118,"NOT FOUND",0,1))</f>
        <v/>
      </c>
    </row>
    <row r="603" spans="1:7" x14ac:dyDescent="0.2">
      <c r="A603" s="3">
        <v>1</v>
      </c>
      <c r="C603" s="3" t="str">
        <f>IF(B603="","",IF(ISNUMBER(VALUE(_xlfn.TEXTBEFORE(B603," "))),_xlfn.XLOOKUP(VALUE(_xlfn.TEXTBEFORE(B603," ")),Legend!$B$11:$B$26,Legend!$A$11:$A$26,"NOT FOUND",0,1),_xlfn.TEXTBEFORE(B603," ")))</f>
        <v/>
      </c>
      <c r="D603" s="3" t="str">
        <f t="shared" si="11"/>
        <v/>
      </c>
      <c r="E603" s="159" t="str">
        <f>IF(C603="","",_xlfn.XLOOKUP(C603,Legend!$A$10:$A$26,Legend!$C$10:$C$26,"NOT FOUND",0,1))</f>
        <v/>
      </c>
      <c r="F603" s="160" t="str">
        <f>IF(C603="","",_xlfn.XLOOKUP(D603,Legend!$A$29:$A$118,Legend!$B$29:$B$118,"NOT FOUND",0,1))</f>
        <v/>
      </c>
      <c r="G603" s="268" t="str">
        <f>IF(C603="","",_xlfn.XLOOKUP(D603,Legend!$A$29:$A$118,Legend!$C$29:$C$118,"NOT FOUND",0,1))</f>
        <v/>
      </c>
    </row>
    <row r="604" spans="1:7" x14ac:dyDescent="0.2">
      <c r="A604" s="3">
        <v>1</v>
      </c>
      <c r="C604" s="3" t="str">
        <f>IF(B604="","",IF(ISNUMBER(VALUE(_xlfn.TEXTBEFORE(B604," "))),_xlfn.XLOOKUP(VALUE(_xlfn.TEXTBEFORE(B604," ")),Legend!$B$11:$B$26,Legend!$A$11:$A$26,"NOT FOUND",0,1),_xlfn.TEXTBEFORE(B604," ")))</f>
        <v/>
      </c>
      <c r="D604" s="3" t="str">
        <f t="shared" si="11"/>
        <v/>
      </c>
      <c r="E604" s="159" t="str">
        <f>IF(C604="","",_xlfn.XLOOKUP(C604,Legend!$A$10:$A$26,Legend!$C$10:$C$26,"NOT FOUND",0,1))</f>
        <v/>
      </c>
      <c r="F604" s="160" t="str">
        <f>IF(C604="","",_xlfn.XLOOKUP(D604,Legend!$A$29:$A$118,Legend!$B$29:$B$118,"NOT FOUND",0,1))</f>
        <v/>
      </c>
      <c r="G604" s="268" t="str">
        <f>IF(C604="","",_xlfn.XLOOKUP(D604,Legend!$A$29:$A$118,Legend!$C$29:$C$118,"NOT FOUND",0,1))</f>
        <v/>
      </c>
    </row>
    <row r="605" spans="1:7" x14ac:dyDescent="0.2">
      <c r="A605" s="3">
        <v>1</v>
      </c>
      <c r="C605" s="3" t="str">
        <f>IF(B605="","",IF(ISNUMBER(VALUE(_xlfn.TEXTBEFORE(B605," "))),_xlfn.XLOOKUP(VALUE(_xlfn.TEXTBEFORE(B605," ")),Legend!$B$11:$B$26,Legend!$A$11:$A$26,"NOT FOUND",0,1),_xlfn.TEXTBEFORE(B605," ")))</f>
        <v/>
      </c>
      <c r="D605" s="3" t="str">
        <f t="shared" si="11"/>
        <v/>
      </c>
      <c r="E605" s="159" t="str">
        <f>IF(C605="","",_xlfn.XLOOKUP(C605,Legend!$A$10:$A$26,Legend!$C$10:$C$26,"NOT FOUND",0,1))</f>
        <v/>
      </c>
      <c r="F605" s="160" t="str">
        <f>IF(C605="","",_xlfn.XLOOKUP(D605,Legend!$A$29:$A$118,Legend!$B$29:$B$118,"NOT FOUND",0,1))</f>
        <v/>
      </c>
      <c r="G605" s="268" t="str">
        <f>IF(C605="","",_xlfn.XLOOKUP(D605,Legend!$A$29:$A$118,Legend!$C$29:$C$118,"NOT FOUND",0,1))</f>
        <v/>
      </c>
    </row>
    <row r="606" spans="1:7" x14ac:dyDescent="0.2">
      <c r="A606" s="3">
        <v>1</v>
      </c>
      <c r="C606" s="3" t="str">
        <f>IF(B606="","",IF(ISNUMBER(VALUE(_xlfn.TEXTBEFORE(B606," "))),_xlfn.XLOOKUP(VALUE(_xlfn.TEXTBEFORE(B606," ")),Legend!$B$11:$B$26,Legend!$A$11:$A$26,"NOT FOUND",0,1),_xlfn.TEXTBEFORE(B606," ")))</f>
        <v/>
      </c>
      <c r="D606" s="3" t="str">
        <f t="shared" si="11"/>
        <v/>
      </c>
      <c r="E606" s="159" t="str">
        <f>IF(C606="","",_xlfn.XLOOKUP(C606,Legend!$A$10:$A$26,Legend!$C$10:$C$26,"NOT FOUND",0,1))</f>
        <v/>
      </c>
      <c r="F606" s="160" t="str">
        <f>IF(C606="","",_xlfn.XLOOKUP(D606,Legend!$A$29:$A$118,Legend!$B$29:$B$118,"NOT FOUND",0,1))</f>
        <v/>
      </c>
      <c r="G606" s="268" t="str">
        <f>IF(C606="","",_xlfn.XLOOKUP(D606,Legend!$A$29:$A$118,Legend!$C$29:$C$118,"NOT FOUND",0,1))</f>
        <v/>
      </c>
    </row>
    <row r="607" spans="1:7" x14ac:dyDescent="0.2">
      <c r="A607" s="3">
        <v>1</v>
      </c>
      <c r="C607" s="3" t="str">
        <f>IF(B607="","",IF(ISNUMBER(VALUE(_xlfn.TEXTBEFORE(B607," "))),_xlfn.XLOOKUP(VALUE(_xlfn.TEXTBEFORE(B607," ")),Legend!$B$11:$B$26,Legend!$A$11:$A$26,"NOT FOUND",0,1),_xlfn.TEXTBEFORE(B607," ")))</f>
        <v/>
      </c>
      <c r="D607" s="3" t="str">
        <f t="shared" si="11"/>
        <v/>
      </c>
      <c r="E607" s="159" t="str">
        <f>IF(C607="","",_xlfn.XLOOKUP(C607,Legend!$A$10:$A$26,Legend!$C$10:$C$26,"NOT FOUND",0,1))</f>
        <v/>
      </c>
      <c r="F607" s="160" t="str">
        <f>IF(C607="","",_xlfn.XLOOKUP(D607,Legend!$A$29:$A$118,Legend!$B$29:$B$118,"NOT FOUND",0,1))</f>
        <v/>
      </c>
      <c r="G607" s="268" t="str">
        <f>IF(C607="","",_xlfn.XLOOKUP(D607,Legend!$A$29:$A$118,Legend!$C$29:$C$118,"NOT FOUND",0,1))</f>
        <v/>
      </c>
    </row>
    <row r="608" spans="1:7" x14ac:dyDescent="0.2">
      <c r="A608" s="3">
        <v>1</v>
      </c>
      <c r="C608" s="3" t="str">
        <f>IF(B608="","",IF(ISNUMBER(VALUE(_xlfn.TEXTBEFORE(B608," "))),_xlfn.XLOOKUP(VALUE(_xlfn.TEXTBEFORE(B608," ")),Legend!$B$11:$B$26,Legend!$A$11:$A$26,"NOT FOUND",0,1),_xlfn.TEXTBEFORE(B608," ")))</f>
        <v/>
      </c>
      <c r="D608" s="3" t="str">
        <f t="shared" si="11"/>
        <v/>
      </c>
      <c r="E608" s="159" t="str">
        <f>IF(C608="","",_xlfn.XLOOKUP(C608,Legend!$A$10:$A$26,Legend!$C$10:$C$26,"NOT FOUND",0,1))</f>
        <v/>
      </c>
      <c r="F608" s="160" t="str">
        <f>IF(C608="","",_xlfn.XLOOKUP(D608,Legend!$A$29:$A$118,Legend!$B$29:$B$118,"NOT FOUND",0,1))</f>
        <v/>
      </c>
      <c r="G608" s="268" t="str">
        <f>IF(C608="","",_xlfn.XLOOKUP(D608,Legend!$A$29:$A$118,Legend!$C$29:$C$118,"NOT FOUND",0,1))</f>
        <v/>
      </c>
    </row>
    <row r="609" spans="1:7" x14ac:dyDescent="0.2">
      <c r="A609" s="3">
        <v>1</v>
      </c>
      <c r="C609" s="3" t="str">
        <f>IF(B609="","",IF(ISNUMBER(VALUE(_xlfn.TEXTBEFORE(B609," "))),_xlfn.XLOOKUP(VALUE(_xlfn.TEXTBEFORE(B609," ")),Legend!$B$11:$B$26,Legend!$A$11:$A$26,"NOT FOUND",0,1),_xlfn.TEXTBEFORE(B609," ")))</f>
        <v/>
      </c>
      <c r="D609" s="3" t="str">
        <f t="shared" si="11"/>
        <v/>
      </c>
      <c r="E609" s="159" t="str">
        <f>IF(C609="","",_xlfn.XLOOKUP(C609,Legend!$A$10:$A$26,Legend!$C$10:$C$26,"NOT FOUND",0,1))</f>
        <v/>
      </c>
      <c r="F609" s="160" t="str">
        <f>IF(C609="","",_xlfn.XLOOKUP(D609,Legend!$A$29:$A$118,Legend!$B$29:$B$118,"NOT FOUND",0,1))</f>
        <v/>
      </c>
      <c r="G609" s="268" t="str">
        <f>IF(C609="","",_xlfn.XLOOKUP(D609,Legend!$A$29:$A$118,Legend!$C$29:$C$118,"NOT FOUND",0,1))</f>
        <v/>
      </c>
    </row>
    <row r="610" spans="1:7" x14ac:dyDescent="0.2">
      <c r="A610" s="3">
        <v>1</v>
      </c>
      <c r="C610" s="3" t="str">
        <f>IF(B610="","",IF(ISNUMBER(VALUE(_xlfn.TEXTBEFORE(B610," "))),_xlfn.XLOOKUP(VALUE(_xlfn.TEXTBEFORE(B610," ")),Legend!$B$11:$B$26,Legend!$A$11:$A$26,"NOT FOUND",0,1),_xlfn.TEXTBEFORE(B610," ")))</f>
        <v/>
      </c>
      <c r="D610" s="3" t="str">
        <f t="shared" si="11"/>
        <v/>
      </c>
      <c r="E610" s="159" t="str">
        <f>IF(C610="","",_xlfn.XLOOKUP(C610,Legend!$A$10:$A$26,Legend!$C$10:$C$26,"NOT FOUND",0,1))</f>
        <v/>
      </c>
      <c r="F610" s="160" t="str">
        <f>IF(C610="","",_xlfn.XLOOKUP(D610,Legend!$A$29:$A$118,Legend!$B$29:$B$118,"NOT FOUND",0,1))</f>
        <v/>
      </c>
      <c r="G610" s="268" t="str">
        <f>IF(C610="","",_xlfn.XLOOKUP(D610,Legend!$A$29:$A$118,Legend!$C$29:$C$118,"NOT FOUND",0,1))</f>
        <v/>
      </c>
    </row>
    <row r="611" spans="1:7" x14ac:dyDescent="0.2">
      <c r="A611" s="3">
        <v>1</v>
      </c>
      <c r="C611" s="3" t="str">
        <f>IF(B611="","",IF(ISNUMBER(VALUE(_xlfn.TEXTBEFORE(B611," "))),_xlfn.XLOOKUP(VALUE(_xlfn.TEXTBEFORE(B611," ")),Legend!$B$11:$B$26,Legend!$A$11:$A$26,"NOT FOUND",0,1),_xlfn.TEXTBEFORE(B611," ")))</f>
        <v/>
      </c>
      <c r="D611" s="3" t="str">
        <f t="shared" si="11"/>
        <v/>
      </c>
      <c r="E611" s="159" t="str">
        <f>IF(C611="","",_xlfn.XLOOKUP(C611,Legend!$A$10:$A$26,Legend!$C$10:$C$26,"NOT FOUND",0,1))</f>
        <v/>
      </c>
      <c r="F611" s="160" t="str">
        <f>IF(C611="","",_xlfn.XLOOKUP(D611,Legend!$A$29:$A$118,Legend!$B$29:$B$118,"NOT FOUND",0,1))</f>
        <v/>
      </c>
      <c r="G611" s="268" t="str">
        <f>IF(C611="","",_xlfn.XLOOKUP(D611,Legend!$A$29:$A$118,Legend!$C$29:$C$118,"NOT FOUND",0,1))</f>
        <v/>
      </c>
    </row>
    <row r="612" spans="1:7" x14ac:dyDescent="0.2">
      <c r="A612" s="3">
        <v>1</v>
      </c>
      <c r="C612" s="3" t="str">
        <f>IF(B612="","",IF(ISNUMBER(VALUE(_xlfn.TEXTBEFORE(B612," "))),_xlfn.XLOOKUP(VALUE(_xlfn.TEXTBEFORE(B612," ")),Legend!$B$11:$B$26,Legend!$A$11:$A$26,"NOT FOUND",0,1),_xlfn.TEXTBEFORE(B612," ")))</f>
        <v/>
      </c>
      <c r="D612" s="3" t="str">
        <f t="shared" si="11"/>
        <v/>
      </c>
      <c r="E612" s="159" t="str">
        <f>IF(C612="","",_xlfn.XLOOKUP(C612,Legend!$A$10:$A$26,Legend!$C$10:$C$26,"NOT FOUND",0,1))</f>
        <v/>
      </c>
      <c r="F612" s="160" t="str">
        <f>IF(C612="","",_xlfn.XLOOKUP(D612,Legend!$A$29:$A$118,Legend!$B$29:$B$118,"NOT FOUND",0,1))</f>
        <v/>
      </c>
      <c r="G612" s="268" t="str">
        <f>IF(C612="","",_xlfn.XLOOKUP(D612,Legend!$A$29:$A$118,Legend!$C$29:$C$118,"NOT FOUND",0,1))</f>
        <v/>
      </c>
    </row>
    <row r="613" spans="1:7" x14ac:dyDescent="0.2">
      <c r="A613" s="3">
        <v>1</v>
      </c>
      <c r="C613" s="3" t="str">
        <f>IF(B613="","",IF(ISNUMBER(VALUE(_xlfn.TEXTBEFORE(B613," "))),_xlfn.XLOOKUP(VALUE(_xlfn.TEXTBEFORE(B613," ")),Legend!$B$11:$B$26,Legend!$A$11:$A$26,"NOT FOUND",0,1),_xlfn.TEXTBEFORE(B613," ")))</f>
        <v/>
      </c>
      <c r="D613" s="3" t="str">
        <f t="shared" si="11"/>
        <v/>
      </c>
      <c r="E613" s="159" t="str">
        <f>IF(C613="","",_xlfn.XLOOKUP(C613,Legend!$A$10:$A$26,Legend!$C$10:$C$26,"NOT FOUND",0,1))</f>
        <v/>
      </c>
      <c r="F613" s="160" t="str">
        <f>IF(C613="","",_xlfn.XLOOKUP(D613,Legend!$A$29:$A$118,Legend!$B$29:$B$118,"NOT FOUND",0,1))</f>
        <v/>
      </c>
      <c r="G613" s="268" t="str">
        <f>IF(C613="","",_xlfn.XLOOKUP(D613,Legend!$A$29:$A$118,Legend!$C$29:$C$118,"NOT FOUND",0,1))</f>
        <v/>
      </c>
    </row>
    <row r="614" spans="1:7" x14ac:dyDescent="0.2">
      <c r="A614" s="3">
        <v>1</v>
      </c>
      <c r="C614" s="3" t="str">
        <f>IF(B614="","",IF(ISNUMBER(VALUE(_xlfn.TEXTBEFORE(B614," "))),_xlfn.XLOOKUP(VALUE(_xlfn.TEXTBEFORE(B614," ")),Legend!$B$11:$B$26,Legend!$A$11:$A$26,"NOT FOUND",0,1),_xlfn.TEXTBEFORE(B614," ")))</f>
        <v/>
      </c>
      <c r="D614" s="3" t="str">
        <f t="shared" si="11"/>
        <v/>
      </c>
      <c r="E614" s="159" t="str">
        <f>IF(C614="","",_xlfn.XLOOKUP(C614,Legend!$A$10:$A$26,Legend!$C$10:$C$26,"NOT FOUND",0,1))</f>
        <v/>
      </c>
      <c r="F614" s="160" t="str">
        <f>IF(C614="","",_xlfn.XLOOKUP(D614,Legend!$A$29:$A$118,Legend!$B$29:$B$118,"NOT FOUND",0,1))</f>
        <v/>
      </c>
      <c r="G614" s="268" t="str">
        <f>IF(C614="","",_xlfn.XLOOKUP(D614,Legend!$A$29:$A$118,Legend!$C$29:$C$118,"NOT FOUND",0,1))</f>
        <v/>
      </c>
    </row>
    <row r="615" spans="1:7" x14ac:dyDescent="0.2">
      <c r="A615" s="3">
        <v>1</v>
      </c>
      <c r="C615" s="3" t="str">
        <f>IF(B615="","",IF(ISNUMBER(VALUE(_xlfn.TEXTBEFORE(B615," "))),_xlfn.XLOOKUP(VALUE(_xlfn.TEXTBEFORE(B615," ")),Legend!$B$11:$B$26,Legend!$A$11:$A$26,"NOT FOUND",0,1),_xlfn.TEXTBEFORE(B615," ")))</f>
        <v/>
      </c>
      <c r="D615" s="3" t="str">
        <f t="shared" si="11"/>
        <v/>
      </c>
      <c r="E615" s="159" t="str">
        <f>IF(C615="","",_xlfn.XLOOKUP(C615,Legend!$A$10:$A$26,Legend!$C$10:$C$26,"NOT FOUND",0,1))</f>
        <v/>
      </c>
      <c r="F615" s="160" t="str">
        <f>IF(C615="","",_xlfn.XLOOKUP(D615,Legend!$A$29:$A$118,Legend!$B$29:$B$118,"NOT FOUND",0,1))</f>
        <v/>
      </c>
      <c r="G615" s="268" t="str">
        <f>IF(C615="","",_xlfn.XLOOKUP(D615,Legend!$A$29:$A$118,Legend!$C$29:$C$118,"NOT FOUND",0,1))</f>
        <v/>
      </c>
    </row>
    <row r="616" spans="1:7" x14ac:dyDescent="0.2">
      <c r="A616" s="3">
        <v>1</v>
      </c>
      <c r="C616" s="3" t="str">
        <f>IF(B616="","",IF(ISNUMBER(VALUE(_xlfn.TEXTBEFORE(B616," "))),_xlfn.XLOOKUP(VALUE(_xlfn.TEXTBEFORE(B616," ")),Legend!$B$11:$B$26,Legend!$A$11:$A$26,"NOT FOUND",0,1),_xlfn.TEXTBEFORE(B616," ")))</f>
        <v/>
      </c>
      <c r="D616" s="3" t="str">
        <f t="shared" si="11"/>
        <v/>
      </c>
      <c r="E616" s="159" t="str">
        <f>IF(C616="","",_xlfn.XLOOKUP(C616,Legend!$A$10:$A$26,Legend!$C$10:$C$26,"NOT FOUND",0,1))</f>
        <v/>
      </c>
      <c r="F616" s="160" t="str">
        <f>IF(C616="","",_xlfn.XLOOKUP(D616,Legend!$A$29:$A$118,Legend!$B$29:$B$118,"NOT FOUND",0,1))</f>
        <v/>
      </c>
      <c r="G616" s="268" t="str">
        <f>IF(C616="","",_xlfn.XLOOKUP(D616,Legend!$A$29:$A$118,Legend!$C$29:$C$118,"NOT FOUND",0,1))</f>
        <v/>
      </c>
    </row>
    <row r="617" spans="1:7" x14ac:dyDescent="0.2">
      <c r="A617" s="3">
        <v>1</v>
      </c>
      <c r="C617" s="3" t="str">
        <f>IF(B617="","",IF(ISNUMBER(VALUE(_xlfn.TEXTBEFORE(B617," "))),_xlfn.XLOOKUP(VALUE(_xlfn.TEXTBEFORE(B617," ")),Legend!$B$11:$B$26,Legend!$A$11:$A$26,"NOT FOUND",0,1),_xlfn.TEXTBEFORE(B617," ")))</f>
        <v/>
      </c>
      <c r="D617" s="3" t="str">
        <f t="shared" si="11"/>
        <v/>
      </c>
      <c r="E617" s="159" t="str">
        <f>IF(C617="","",_xlfn.XLOOKUP(C617,Legend!$A$10:$A$26,Legend!$C$10:$C$26,"NOT FOUND",0,1))</f>
        <v/>
      </c>
      <c r="F617" s="160" t="str">
        <f>IF(C617="","",_xlfn.XLOOKUP(D617,Legend!$A$29:$A$118,Legend!$B$29:$B$118,"NOT FOUND",0,1))</f>
        <v/>
      </c>
      <c r="G617" s="268" t="str">
        <f>IF(C617="","",_xlfn.XLOOKUP(D617,Legend!$A$29:$A$118,Legend!$C$29:$C$118,"NOT FOUND",0,1))</f>
        <v/>
      </c>
    </row>
    <row r="618" spans="1:7" x14ac:dyDescent="0.2">
      <c r="A618" s="3">
        <v>1</v>
      </c>
      <c r="C618" s="3" t="str">
        <f>IF(B618="","",IF(ISNUMBER(VALUE(_xlfn.TEXTBEFORE(B618," "))),_xlfn.XLOOKUP(VALUE(_xlfn.TEXTBEFORE(B618," ")),Legend!$B$11:$B$26,Legend!$A$11:$A$26,"NOT FOUND",0,1),_xlfn.TEXTBEFORE(B618," ")))</f>
        <v/>
      </c>
      <c r="D618" s="3" t="str">
        <f t="shared" si="11"/>
        <v/>
      </c>
      <c r="E618" s="159" t="str">
        <f>IF(C618="","",_xlfn.XLOOKUP(C618,Legend!$A$10:$A$26,Legend!$C$10:$C$26,"NOT FOUND",0,1))</f>
        <v/>
      </c>
      <c r="F618" s="160" t="str">
        <f>IF(C618="","",_xlfn.XLOOKUP(D618,Legend!$A$29:$A$118,Legend!$B$29:$B$118,"NOT FOUND",0,1))</f>
        <v/>
      </c>
      <c r="G618" s="268" t="str">
        <f>IF(C618="","",_xlfn.XLOOKUP(D618,Legend!$A$29:$A$118,Legend!$C$29:$C$118,"NOT FOUND",0,1))</f>
        <v/>
      </c>
    </row>
    <row r="619" spans="1:7" x14ac:dyDescent="0.2">
      <c r="A619" s="3">
        <v>1</v>
      </c>
      <c r="C619" s="3" t="str">
        <f>IF(B619="","",IF(ISNUMBER(VALUE(_xlfn.TEXTBEFORE(B619," "))),_xlfn.XLOOKUP(VALUE(_xlfn.TEXTBEFORE(B619," ")),Legend!$B$11:$B$26,Legend!$A$11:$A$26,"NOT FOUND",0,1),_xlfn.TEXTBEFORE(B619," ")))</f>
        <v/>
      </c>
      <c r="D619" s="3" t="str">
        <f t="shared" si="11"/>
        <v/>
      </c>
      <c r="E619" s="159" t="str">
        <f>IF(C619="","",_xlfn.XLOOKUP(C619,Legend!$A$10:$A$26,Legend!$C$10:$C$26,"NOT FOUND",0,1))</f>
        <v/>
      </c>
      <c r="F619" s="160" t="str">
        <f>IF(C619="","",_xlfn.XLOOKUP(D619,Legend!$A$29:$A$118,Legend!$B$29:$B$118,"NOT FOUND",0,1))</f>
        <v/>
      </c>
      <c r="G619" s="268" t="str">
        <f>IF(C619="","",_xlfn.XLOOKUP(D619,Legend!$A$29:$A$118,Legend!$C$29:$C$118,"NOT FOUND",0,1))</f>
        <v/>
      </c>
    </row>
    <row r="620" spans="1:7" x14ac:dyDescent="0.2">
      <c r="A620" s="3">
        <v>1</v>
      </c>
      <c r="C620" s="3" t="str">
        <f>IF(B620="","",IF(ISNUMBER(VALUE(_xlfn.TEXTBEFORE(B620," "))),_xlfn.XLOOKUP(VALUE(_xlfn.TEXTBEFORE(B620," ")),Legend!$B$11:$B$26,Legend!$A$11:$A$26,"NOT FOUND",0,1),_xlfn.TEXTBEFORE(B620," ")))</f>
        <v/>
      </c>
      <c r="D620" s="3" t="str">
        <f t="shared" si="11"/>
        <v/>
      </c>
      <c r="E620" s="159" t="str">
        <f>IF(C620="","",_xlfn.XLOOKUP(C620,Legend!$A$10:$A$26,Legend!$C$10:$C$26,"NOT FOUND",0,1))</f>
        <v/>
      </c>
      <c r="F620" s="160" t="str">
        <f>IF(C620="","",_xlfn.XLOOKUP(D620,Legend!$A$29:$A$118,Legend!$B$29:$B$118,"NOT FOUND",0,1))</f>
        <v/>
      </c>
      <c r="G620" s="268" t="str">
        <f>IF(C620="","",_xlfn.XLOOKUP(D620,Legend!$A$29:$A$118,Legend!$C$29:$C$118,"NOT FOUND",0,1))</f>
        <v/>
      </c>
    </row>
    <row r="621" spans="1:7" x14ac:dyDescent="0.2">
      <c r="A621" s="3">
        <v>1</v>
      </c>
      <c r="C621" s="3" t="str">
        <f>IF(B621="","",IF(ISNUMBER(VALUE(_xlfn.TEXTBEFORE(B621," "))),_xlfn.XLOOKUP(VALUE(_xlfn.TEXTBEFORE(B621," ")),Legend!$B$11:$B$26,Legend!$A$11:$A$26,"NOT FOUND",0,1),_xlfn.TEXTBEFORE(B621," ")))</f>
        <v/>
      </c>
      <c r="D621" s="3" t="str">
        <f t="shared" si="11"/>
        <v/>
      </c>
      <c r="E621" s="159" t="str">
        <f>IF(C621="","",_xlfn.XLOOKUP(C621,Legend!$A$10:$A$26,Legend!$C$10:$C$26,"NOT FOUND",0,1))</f>
        <v/>
      </c>
      <c r="F621" s="160" t="str">
        <f>IF(C621="","",_xlfn.XLOOKUP(D621,Legend!$A$29:$A$118,Legend!$B$29:$B$118,"NOT FOUND",0,1))</f>
        <v/>
      </c>
      <c r="G621" s="268" t="str">
        <f>IF(C621="","",_xlfn.XLOOKUP(D621,Legend!$A$29:$A$118,Legend!$C$29:$C$118,"NOT FOUND",0,1))</f>
        <v/>
      </c>
    </row>
    <row r="622" spans="1:7" x14ac:dyDescent="0.2">
      <c r="A622" s="3">
        <v>1</v>
      </c>
      <c r="C622" s="3" t="str">
        <f>IF(B622="","",IF(ISNUMBER(VALUE(_xlfn.TEXTBEFORE(B622," "))),_xlfn.XLOOKUP(VALUE(_xlfn.TEXTBEFORE(B622," ")),Legend!$B$11:$B$26,Legend!$A$11:$A$26,"NOT FOUND",0,1),_xlfn.TEXTBEFORE(B622," ")))</f>
        <v/>
      </c>
      <c r="D622" s="3" t="str">
        <f t="shared" si="11"/>
        <v/>
      </c>
      <c r="E622" s="159" t="str">
        <f>IF(C622="","",_xlfn.XLOOKUP(C622,Legend!$A$10:$A$26,Legend!$C$10:$C$26,"NOT FOUND",0,1))</f>
        <v/>
      </c>
      <c r="F622" s="160" t="str">
        <f>IF(C622="","",_xlfn.XLOOKUP(D622,Legend!$A$29:$A$118,Legend!$B$29:$B$118,"NOT FOUND",0,1))</f>
        <v/>
      </c>
      <c r="G622" s="268" t="str">
        <f>IF(C622="","",_xlfn.XLOOKUP(D622,Legend!$A$29:$A$118,Legend!$C$29:$C$118,"NOT FOUND",0,1))</f>
        <v/>
      </c>
    </row>
    <row r="623" spans="1:7" x14ac:dyDescent="0.2">
      <c r="A623" s="3">
        <v>1</v>
      </c>
      <c r="C623" s="3" t="str">
        <f>IF(B623="","",IF(ISNUMBER(VALUE(_xlfn.TEXTBEFORE(B623," "))),_xlfn.XLOOKUP(VALUE(_xlfn.TEXTBEFORE(B623," ")),Legend!$B$11:$B$26,Legend!$A$11:$A$26,"NOT FOUND",0,1),_xlfn.TEXTBEFORE(B623," ")))</f>
        <v/>
      </c>
      <c r="D623" s="3" t="str">
        <f t="shared" si="11"/>
        <v/>
      </c>
      <c r="E623" s="159" t="str">
        <f>IF(C623="","",_xlfn.XLOOKUP(C623,Legend!$A$10:$A$26,Legend!$C$10:$C$26,"NOT FOUND",0,1))</f>
        <v/>
      </c>
      <c r="F623" s="160" t="str">
        <f>IF(C623="","",_xlfn.XLOOKUP(D623,Legend!$A$29:$A$118,Legend!$B$29:$B$118,"NOT FOUND",0,1))</f>
        <v/>
      </c>
      <c r="G623" s="268" t="str">
        <f>IF(C623="","",_xlfn.XLOOKUP(D623,Legend!$A$29:$A$118,Legend!$C$29:$C$118,"NOT FOUND",0,1))</f>
        <v/>
      </c>
    </row>
    <row r="624" spans="1:7" x14ac:dyDescent="0.2">
      <c r="A624" s="3">
        <v>1</v>
      </c>
      <c r="C624" s="3" t="str">
        <f>IF(B624="","",IF(ISNUMBER(VALUE(_xlfn.TEXTBEFORE(B624," "))),_xlfn.XLOOKUP(VALUE(_xlfn.TEXTBEFORE(B624," ")),Legend!$B$11:$B$26,Legend!$A$11:$A$26,"NOT FOUND",0,1),_xlfn.TEXTBEFORE(B624," ")))</f>
        <v/>
      </c>
      <c r="D624" s="3" t="str">
        <f t="shared" si="11"/>
        <v/>
      </c>
      <c r="E624" s="159" t="str">
        <f>IF(C624="","",_xlfn.XLOOKUP(C624,Legend!$A$10:$A$26,Legend!$C$10:$C$26,"NOT FOUND",0,1))</f>
        <v/>
      </c>
      <c r="F624" s="160" t="str">
        <f>IF(C624="","",_xlfn.XLOOKUP(D624,Legend!$A$29:$A$118,Legend!$B$29:$B$118,"NOT FOUND",0,1))</f>
        <v/>
      </c>
      <c r="G624" s="268" t="str">
        <f>IF(C624="","",_xlfn.XLOOKUP(D624,Legend!$A$29:$A$118,Legend!$C$29:$C$118,"NOT FOUND",0,1))</f>
        <v/>
      </c>
    </row>
    <row r="625" spans="1:7" x14ac:dyDescent="0.2">
      <c r="A625" s="3">
        <v>1</v>
      </c>
      <c r="C625" s="3" t="str">
        <f>IF(B625="","",IF(ISNUMBER(VALUE(_xlfn.TEXTBEFORE(B625," "))),_xlfn.XLOOKUP(VALUE(_xlfn.TEXTBEFORE(B625," ")),Legend!$B$11:$B$26,Legend!$A$11:$A$26,"NOT FOUND",0,1),_xlfn.TEXTBEFORE(B625," ")))</f>
        <v/>
      </c>
      <c r="D625" s="3" t="str">
        <f t="shared" si="11"/>
        <v/>
      </c>
      <c r="E625" s="159" t="str">
        <f>IF(C625="","",_xlfn.XLOOKUP(C625,Legend!$A$10:$A$26,Legend!$C$10:$C$26,"NOT FOUND",0,1))</f>
        <v/>
      </c>
      <c r="F625" s="160" t="str">
        <f>IF(C625="","",_xlfn.XLOOKUP(D625,Legend!$A$29:$A$118,Legend!$B$29:$B$118,"NOT FOUND",0,1))</f>
        <v/>
      </c>
      <c r="G625" s="268" t="str">
        <f>IF(C625="","",_xlfn.XLOOKUP(D625,Legend!$A$29:$A$118,Legend!$C$29:$C$118,"NOT FOUND",0,1))</f>
        <v/>
      </c>
    </row>
    <row r="626" spans="1:7" x14ac:dyDescent="0.2">
      <c r="A626" s="3">
        <v>1</v>
      </c>
      <c r="C626" s="3" t="str">
        <f>IF(B626="","",IF(ISNUMBER(VALUE(_xlfn.TEXTBEFORE(B626," "))),_xlfn.XLOOKUP(VALUE(_xlfn.TEXTBEFORE(B626," ")),Legend!$B$11:$B$26,Legend!$A$11:$A$26,"NOT FOUND",0,1),_xlfn.TEXTBEFORE(B626," ")))</f>
        <v/>
      </c>
      <c r="D626" s="3" t="str">
        <f t="shared" si="11"/>
        <v/>
      </c>
      <c r="E626" s="159" t="str">
        <f>IF(C626="","",_xlfn.XLOOKUP(C626,Legend!$A$10:$A$26,Legend!$C$10:$C$26,"NOT FOUND",0,1))</f>
        <v/>
      </c>
      <c r="F626" s="160" t="str">
        <f>IF(C626="","",_xlfn.XLOOKUP(D626,Legend!$A$29:$A$118,Legend!$B$29:$B$118,"NOT FOUND",0,1))</f>
        <v/>
      </c>
      <c r="G626" s="268" t="str">
        <f>IF(C626="","",_xlfn.XLOOKUP(D626,Legend!$A$29:$A$118,Legend!$C$29:$C$118,"NOT FOUND",0,1))</f>
        <v/>
      </c>
    </row>
    <row r="627" spans="1:7" x14ac:dyDescent="0.2">
      <c r="A627" s="3">
        <v>1</v>
      </c>
      <c r="C627" s="3" t="str">
        <f>IF(B627="","",IF(ISNUMBER(VALUE(_xlfn.TEXTBEFORE(B627," "))),_xlfn.XLOOKUP(VALUE(_xlfn.TEXTBEFORE(B627," ")),Legend!$B$11:$B$26,Legend!$A$11:$A$26,"NOT FOUND",0,1),_xlfn.TEXTBEFORE(B627," ")))</f>
        <v/>
      </c>
      <c r="D627" s="3" t="str">
        <f t="shared" si="11"/>
        <v/>
      </c>
      <c r="E627" s="159" t="str">
        <f>IF(C627="","",_xlfn.XLOOKUP(C627,Legend!$A$10:$A$26,Legend!$C$10:$C$26,"NOT FOUND",0,1))</f>
        <v/>
      </c>
      <c r="F627" s="160" t="str">
        <f>IF(C627="","",_xlfn.XLOOKUP(D627,Legend!$A$29:$A$118,Legend!$B$29:$B$118,"NOT FOUND",0,1))</f>
        <v/>
      </c>
      <c r="G627" s="268" t="str">
        <f>IF(C627="","",_xlfn.XLOOKUP(D627,Legend!$A$29:$A$118,Legend!$C$29:$C$118,"NOT FOUND",0,1))</f>
        <v/>
      </c>
    </row>
    <row r="628" spans="1:7" x14ac:dyDescent="0.2">
      <c r="A628" s="3">
        <v>1</v>
      </c>
      <c r="C628" s="3" t="str">
        <f>IF(B628="","",IF(ISNUMBER(VALUE(_xlfn.TEXTBEFORE(B628," "))),_xlfn.XLOOKUP(VALUE(_xlfn.TEXTBEFORE(B628," ")),Legend!$B$11:$B$26,Legend!$A$11:$A$26,"NOT FOUND",0,1),_xlfn.TEXTBEFORE(B628," ")))</f>
        <v/>
      </c>
      <c r="D628" s="3" t="str">
        <f t="shared" si="11"/>
        <v/>
      </c>
      <c r="E628" s="159" t="str">
        <f>IF(C628="","",_xlfn.XLOOKUP(C628,Legend!$A$10:$A$26,Legend!$C$10:$C$26,"NOT FOUND",0,1))</f>
        <v/>
      </c>
      <c r="F628" s="160" t="str">
        <f>IF(C628="","",_xlfn.XLOOKUP(D628,Legend!$A$29:$A$118,Legend!$B$29:$B$118,"NOT FOUND",0,1))</f>
        <v/>
      </c>
      <c r="G628" s="268" t="str">
        <f>IF(C628="","",_xlfn.XLOOKUP(D628,Legend!$A$29:$A$118,Legend!$C$29:$C$118,"NOT FOUND",0,1))</f>
        <v/>
      </c>
    </row>
    <row r="629" spans="1:7" x14ac:dyDescent="0.2">
      <c r="A629" s="3">
        <v>1</v>
      </c>
      <c r="C629" s="3" t="str">
        <f>IF(B629="","",IF(ISNUMBER(VALUE(_xlfn.TEXTBEFORE(B629," "))),_xlfn.XLOOKUP(VALUE(_xlfn.TEXTBEFORE(B629," ")),Legend!$B$11:$B$26,Legend!$A$11:$A$26,"NOT FOUND",0,1),_xlfn.TEXTBEFORE(B629," ")))</f>
        <v/>
      </c>
      <c r="D629" s="3" t="str">
        <f t="shared" si="11"/>
        <v/>
      </c>
      <c r="E629" s="159" t="str">
        <f>IF(C629="","",_xlfn.XLOOKUP(C629,Legend!$A$10:$A$26,Legend!$C$10:$C$26,"NOT FOUND",0,1))</f>
        <v/>
      </c>
      <c r="F629" s="160" t="str">
        <f>IF(C629="","",_xlfn.XLOOKUP(D629,Legend!$A$29:$A$118,Legend!$B$29:$B$118,"NOT FOUND",0,1))</f>
        <v/>
      </c>
      <c r="G629" s="268" t="str">
        <f>IF(C629="","",_xlfn.XLOOKUP(D629,Legend!$A$29:$A$118,Legend!$C$29:$C$118,"NOT FOUND",0,1))</f>
        <v/>
      </c>
    </row>
    <row r="630" spans="1:7" x14ac:dyDescent="0.2">
      <c r="A630" s="3">
        <v>1</v>
      </c>
      <c r="C630" s="3" t="str">
        <f>IF(B630="","",IF(ISNUMBER(VALUE(_xlfn.TEXTBEFORE(B630," "))),_xlfn.XLOOKUP(VALUE(_xlfn.TEXTBEFORE(B630," ")),Legend!$B$11:$B$26,Legend!$A$11:$A$26,"NOT FOUND",0,1),_xlfn.TEXTBEFORE(B630," ")))</f>
        <v/>
      </c>
      <c r="D630" s="3" t="str">
        <f t="shared" si="11"/>
        <v/>
      </c>
      <c r="E630" s="159" t="str">
        <f>IF(C630="","",_xlfn.XLOOKUP(C630,Legend!$A$10:$A$26,Legend!$C$10:$C$26,"NOT FOUND",0,1))</f>
        <v/>
      </c>
      <c r="F630" s="160" t="str">
        <f>IF(C630="","",_xlfn.XLOOKUP(D630,Legend!$A$29:$A$118,Legend!$B$29:$B$118,"NOT FOUND",0,1))</f>
        <v/>
      </c>
      <c r="G630" s="268" t="str">
        <f>IF(C630="","",_xlfn.XLOOKUP(D630,Legend!$A$29:$A$118,Legend!$C$29:$C$118,"NOT FOUND",0,1))</f>
        <v/>
      </c>
    </row>
    <row r="631" spans="1:7" x14ac:dyDescent="0.2">
      <c r="A631" s="3">
        <v>1</v>
      </c>
      <c r="C631" s="3" t="str">
        <f>IF(B631="","",IF(ISNUMBER(VALUE(_xlfn.TEXTBEFORE(B631," "))),_xlfn.XLOOKUP(VALUE(_xlfn.TEXTBEFORE(B631," ")),Legend!$B$11:$B$26,Legend!$A$11:$A$26,"NOT FOUND",0,1),_xlfn.TEXTBEFORE(B631," ")))</f>
        <v/>
      </c>
      <c r="D631" s="3" t="str">
        <f t="shared" si="11"/>
        <v/>
      </c>
      <c r="E631" s="159" t="str">
        <f>IF(C631="","",_xlfn.XLOOKUP(C631,Legend!$A$10:$A$26,Legend!$C$10:$C$26,"NOT FOUND",0,1))</f>
        <v/>
      </c>
      <c r="F631" s="160" t="str">
        <f>IF(C631="","",_xlfn.XLOOKUP(D631,Legend!$A$29:$A$118,Legend!$B$29:$B$118,"NOT FOUND",0,1))</f>
        <v/>
      </c>
      <c r="G631" s="268" t="str">
        <f>IF(C631="","",_xlfn.XLOOKUP(D631,Legend!$A$29:$A$118,Legend!$C$29:$C$118,"NOT FOUND",0,1))</f>
        <v/>
      </c>
    </row>
    <row r="632" spans="1:7" x14ac:dyDescent="0.2">
      <c r="A632" s="3">
        <v>1</v>
      </c>
      <c r="C632" s="3" t="str">
        <f>IF(B632="","",IF(ISNUMBER(VALUE(_xlfn.TEXTBEFORE(B632," "))),_xlfn.XLOOKUP(VALUE(_xlfn.TEXTBEFORE(B632," ")),Legend!$B$11:$B$26,Legend!$A$11:$A$26,"NOT FOUND",0,1),_xlfn.TEXTBEFORE(B632," ")))</f>
        <v/>
      </c>
      <c r="D632" s="3" t="str">
        <f t="shared" si="11"/>
        <v/>
      </c>
      <c r="E632" s="159" t="str">
        <f>IF(C632="","",_xlfn.XLOOKUP(C632,Legend!$A$10:$A$26,Legend!$C$10:$C$26,"NOT FOUND",0,1))</f>
        <v/>
      </c>
      <c r="F632" s="160" t="str">
        <f>IF(C632="","",_xlfn.XLOOKUP(D632,Legend!$A$29:$A$118,Legend!$B$29:$B$118,"NOT FOUND",0,1))</f>
        <v/>
      </c>
      <c r="G632" s="268" t="str">
        <f>IF(C632="","",_xlfn.XLOOKUP(D632,Legend!$A$29:$A$118,Legend!$C$29:$C$118,"NOT FOUND",0,1))</f>
        <v/>
      </c>
    </row>
    <row r="633" spans="1:7" x14ac:dyDescent="0.2">
      <c r="A633" s="3">
        <v>1</v>
      </c>
      <c r="C633" s="3" t="str">
        <f>IF(B633="","",IF(ISNUMBER(VALUE(_xlfn.TEXTBEFORE(B633," "))),_xlfn.XLOOKUP(VALUE(_xlfn.TEXTBEFORE(B633," ")),Legend!$B$11:$B$26,Legend!$A$11:$A$26,"NOT FOUND",0,1),_xlfn.TEXTBEFORE(B633," ")))</f>
        <v/>
      </c>
      <c r="D633" s="3" t="str">
        <f t="shared" si="11"/>
        <v/>
      </c>
      <c r="E633" s="159" t="str">
        <f>IF(C633="","",_xlfn.XLOOKUP(C633,Legend!$A$10:$A$26,Legend!$C$10:$C$26,"NOT FOUND",0,1))</f>
        <v/>
      </c>
      <c r="F633" s="160" t="str">
        <f>IF(C633="","",_xlfn.XLOOKUP(D633,Legend!$A$29:$A$118,Legend!$B$29:$B$118,"NOT FOUND",0,1))</f>
        <v/>
      </c>
      <c r="G633" s="268" t="str">
        <f>IF(C633="","",_xlfn.XLOOKUP(D633,Legend!$A$29:$A$118,Legend!$C$29:$C$118,"NOT FOUND",0,1))</f>
        <v/>
      </c>
    </row>
    <row r="634" spans="1:7" x14ac:dyDescent="0.2">
      <c r="A634" s="3">
        <v>1</v>
      </c>
      <c r="C634" s="3" t="str">
        <f>IF(B634="","",IF(ISNUMBER(VALUE(_xlfn.TEXTBEFORE(B634," "))),_xlfn.XLOOKUP(VALUE(_xlfn.TEXTBEFORE(B634," ")),Legend!$B$11:$B$26,Legend!$A$11:$A$26,"NOT FOUND",0,1),_xlfn.TEXTBEFORE(B634," ")))</f>
        <v/>
      </c>
      <c r="D634" s="3" t="str">
        <f t="shared" si="11"/>
        <v/>
      </c>
      <c r="E634" s="159" t="str">
        <f>IF(C634="","",_xlfn.XLOOKUP(C634,Legend!$A$10:$A$26,Legend!$C$10:$C$26,"NOT FOUND",0,1))</f>
        <v/>
      </c>
      <c r="F634" s="160" t="str">
        <f>IF(C634="","",_xlfn.XLOOKUP(D634,Legend!$A$29:$A$118,Legend!$B$29:$B$118,"NOT FOUND",0,1))</f>
        <v/>
      </c>
      <c r="G634" s="268" t="str">
        <f>IF(C634="","",_xlfn.XLOOKUP(D634,Legend!$A$29:$A$118,Legend!$C$29:$C$118,"NOT FOUND",0,1))</f>
        <v/>
      </c>
    </row>
    <row r="635" spans="1:7" x14ac:dyDescent="0.2">
      <c r="A635" s="3">
        <v>1</v>
      </c>
      <c r="C635" s="3" t="str">
        <f>IF(B635="","",IF(ISNUMBER(VALUE(_xlfn.TEXTBEFORE(B635," "))),_xlfn.XLOOKUP(VALUE(_xlfn.TEXTBEFORE(B635," ")),Legend!$B$11:$B$26,Legend!$A$11:$A$26,"NOT FOUND",0,1),_xlfn.TEXTBEFORE(B635," ")))</f>
        <v/>
      </c>
      <c r="D635" s="3" t="str">
        <f t="shared" si="11"/>
        <v/>
      </c>
      <c r="E635" s="159" t="str">
        <f>IF(C635="","",_xlfn.XLOOKUP(C635,Legend!$A$10:$A$26,Legend!$C$10:$C$26,"NOT FOUND",0,1))</f>
        <v/>
      </c>
      <c r="F635" s="160" t="str">
        <f>IF(C635="","",_xlfn.XLOOKUP(D635,Legend!$A$29:$A$118,Legend!$B$29:$B$118,"NOT FOUND",0,1))</f>
        <v/>
      </c>
      <c r="G635" s="268" t="str">
        <f>IF(C635="","",_xlfn.XLOOKUP(D635,Legend!$A$29:$A$118,Legend!$C$29:$C$118,"NOT FOUND",0,1))</f>
        <v/>
      </c>
    </row>
    <row r="636" spans="1:7" x14ac:dyDescent="0.2">
      <c r="A636" s="3">
        <v>1</v>
      </c>
      <c r="C636" s="3" t="str">
        <f>IF(B636="","",IF(ISNUMBER(VALUE(_xlfn.TEXTBEFORE(B636," "))),_xlfn.XLOOKUP(VALUE(_xlfn.TEXTBEFORE(B636," ")),Legend!$B$11:$B$26,Legend!$A$11:$A$26,"NOT FOUND",0,1),_xlfn.TEXTBEFORE(B636," ")))</f>
        <v/>
      </c>
      <c r="D636" s="3" t="str">
        <f t="shared" si="11"/>
        <v/>
      </c>
      <c r="E636" s="159" t="str">
        <f>IF(C636="","",_xlfn.XLOOKUP(C636,Legend!$A$10:$A$26,Legend!$C$10:$C$26,"NOT FOUND",0,1))</f>
        <v/>
      </c>
      <c r="F636" s="160" t="str">
        <f>IF(C636="","",_xlfn.XLOOKUP(D636,Legend!$A$29:$A$118,Legend!$B$29:$B$118,"NOT FOUND",0,1))</f>
        <v/>
      </c>
      <c r="G636" s="268" t="str">
        <f>IF(C636="","",_xlfn.XLOOKUP(D636,Legend!$A$29:$A$118,Legend!$C$29:$C$118,"NOT FOUND",0,1))</f>
        <v/>
      </c>
    </row>
    <row r="637" spans="1:7" x14ac:dyDescent="0.2">
      <c r="A637" s="3">
        <v>1</v>
      </c>
      <c r="C637" s="3" t="str">
        <f>IF(B637="","",IF(ISNUMBER(VALUE(_xlfn.TEXTBEFORE(B637," "))),_xlfn.XLOOKUP(VALUE(_xlfn.TEXTBEFORE(B637," ")),Legend!$B$11:$B$26,Legend!$A$11:$A$26,"NOT FOUND",0,1),_xlfn.TEXTBEFORE(B637," ")))</f>
        <v/>
      </c>
      <c r="D637" s="3" t="str">
        <f t="shared" si="11"/>
        <v/>
      </c>
      <c r="E637" s="159" t="str">
        <f>IF(C637="","",_xlfn.XLOOKUP(C637,Legend!$A$10:$A$26,Legend!$C$10:$C$26,"NOT FOUND",0,1))</f>
        <v/>
      </c>
      <c r="F637" s="160" t="str">
        <f>IF(C637="","",_xlfn.XLOOKUP(D637,Legend!$A$29:$A$118,Legend!$B$29:$B$118,"NOT FOUND",0,1))</f>
        <v/>
      </c>
      <c r="G637" s="268" t="str">
        <f>IF(C637="","",_xlfn.XLOOKUP(D637,Legend!$A$29:$A$118,Legend!$C$29:$C$118,"NOT FOUND",0,1))</f>
        <v/>
      </c>
    </row>
    <row r="638" spans="1:7" x14ac:dyDescent="0.2">
      <c r="A638" s="3">
        <v>1</v>
      </c>
      <c r="C638" s="3" t="str">
        <f>IF(B638="","",IF(ISNUMBER(VALUE(_xlfn.TEXTBEFORE(B638," "))),_xlfn.XLOOKUP(VALUE(_xlfn.TEXTBEFORE(B638," ")),Legend!$B$11:$B$26,Legend!$A$11:$A$26,"NOT FOUND",0,1),_xlfn.TEXTBEFORE(B638," ")))</f>
        <v/>
      </c>
      <c r="D638" s="3" t="str">
        <f t="shared" si="11"/>
        <v/>
      </c>
      <c r="E638" s="159" t="str">
        <f>IF(C638="","",_xlfn.XLOOKUP(C638,Legend!$A$10:$A$26,Legend!$C$10:$C$26,"NOT FOUND",0,1))</f>
        <v/>
      </c>
      <c r="F638" s="160" t="str">
        <f>IF(C638="","",_xlfn.XLOOKUP(D638,Legend!$A$29:$A$118,Legend!$B$29:$B$118,"NOT FOUND",0,1))</f>
        <v/>
      </c>
      <c r="G638" s="268" t="str">
        <f>IF(C638="","",_xlfn.XLOOKUP(D638,Legend!$A$29:$A$118,Legend!$C$29:$C$118,"NOT FOUND",0,1))</f>
        <v/>
      </c>
    </row>
    <row r="639" spans="1:7" x14ac:dyDescent="0.2">
      <c r="A639" s="3">
        <v>1</v>
      </c>
      <c r="C639" s="3" t="str">
        <f>IF(B639="","",IF(ISNUMBER(VALUE(_xlfn.TEXTBEFORE(B639," "))),_xlfn.XLOOKUP(VALUE(_xlfn.TEXTBEFORE(B639," ")),Legend!$B$11:$B$26,Legend!$A$11:$A$26,"NOT FOUND",0,1),_xlfn.TEXTBEFORE(B639," ")))</f>
        <v/>
      </c>
      <c r="D639" s="3" t="str">
        <f t="shared" si="11"/>
        <v/>
      </c>
      <c r="E639" s="159" t="str">
        <f>IF(C639="","",_xlfn.XLOOKUP(C639,Legend!$A$10:$A$26,Legend!$C$10:$C$26,"NOT FOUND",0,1))</f>
        <v/>
      </c>
      <c r="F639" s="160" t="str">
        <f>IF(C639="","",_xlfn.XLOOKUP(D639,Legend!$A$29:$A$118,Legend!$B$29:$B$118,"NOT FOUND",0,1))</f>
        <v/>
      </c>
      <c r="G639" s="268" t="str">
        <f>IF(C639="","",_xlfn.XLOOKUP(D639,Legend!$A$29:$A$118,Legend!$C$29:$C$118,"NOT FOUND",0,1))</f>
        <v/>
      </c>
    </row>
    <row r="640" spans="1:7" x14ac:dyDescent="0.2">
      <c r="A640" s="3">
        <v>1</v>
      </c>
      <c r="C640" s="3" t="str">
        <f>IF(B640="","",IF(ISNUMBER(VALUE(_xlfn.TEXTBEFORE(B640," "))),_xlfn.XLOOKUP(VALUE(_xlfn.TEXTBEFORE(B640," ")),Legend!$B$11:$B$26,Legend!$A$11:$A$26,"NOT FOUND",0,1),_xlfn.TEXTBEFORE(B640," ")))</f>
        <v/>
      </c>
      <c r="D640" s="3" t="str">
        <f t="shared" si="11"/>
        <v/>
      </c>
      <c r="E640" s="159" t="str">
        <f>IF(C640="","",_xlfn.XLOOKUP(C640,Legend!$A$10:$A$26,Legend!$C$10:$C$26,"NOT FOUND",0,1))</f>
        <v/>
      </c>
      <c r="F640" s="160" t="str">
        <f>IF(C640="","",_xlfn.XLOOKUP(D640,Legend!$A$29:$A$118,Legend!$B$29:$B$118,"NOT FOUND",0,1))</f>
        <v/>
      </c>
      <c r="G640" s="268" t="str">
        <f>IF(C640="","",_xlfn.XLOOKUP(D640,Legend!$A$29:$A$118,Legend!$C$29:$C$118,"NOT FOUND",0,1))</f>
        <v/>
      </c>
    </row>
    <row r="641" spans="1:7" x14ac:dyDescent="0.2">
      <c r="A641" s="3">
        <v>1</v>
      </c>
      <c r="C641" s="3" t="str">
        <f>IF(B641="","",IF(ISNUMBER(VALUE(_xlfn.TEXTBEFORE(B641," "))),_xlfn.XLOOKUP(VALUE(_xlfn.TEXTBEFORE(B641," ")),Legend!$B$11:$B$26,Legend!$A$11:$A$26,"NOT FOUND",0,1),_xlfn.TEXTBEFORE(B641," ")))</f>
        <v/>
      </c>
      <c r="D641" s="3" t="str">
        <f t="shared" si="11"/>
        <v/>
      </c>
      <c r="E641" s="159" t="str">
        <f>IF(C641="","",_xlfn.XLOOKUP(C641,Legend!$A$10:$A$26,Legend!$C$10:$C$26,"NOT FOUND",0,1))</f>
        <v/>
      </c>
      <c r="F641" s="160" t="str">
        <f>IF(C641="","",_xlfn.XLOOKUP(D641,Legend!$A$29:$A$118,Legend!$B$29:$B$118,"NOT FOUND",0,1))</f>
        <v/>
      </c>
      <c r="G641" s="268" t="str">
        <f>IF(C641="","",_xlfn.XLOOKUP(D641,Legend!$A$29:$A$118,Legend!$C$29:$C$118,"NOT FOUND",0,1))</f>
        <v/>
      </c>
    </row>
    <row r="642" spans="1:7" x14ac:dyDescent="0.2">
      <c r="A642" s="3">
        <v>1</v>
      </c>
      <c r="C642" s="3" t="str">
        <f>IF(B642="","",IF(ISNUMBER(VALUE(_xlfn.TEXTBEFORE(B642," "))),_xlfn.XLOOKUP(VALUE(_xlfn.TEXTBEFORE(B642," ")),Legend!$B$11:$B$26,Legend!$A$11:$A$26,"NOT FOUND",0,1),_xlfn.TEXTBEFORE(B642," ")))</f>
        <v/>
      </c>
      <c r="D642" s="3" t="str">
        <f t="shared" si="11"/>
        <v/>
      </c>
      <c r="E642" s="159" t="str">
        <f>IF(C642="","",_xlfn.XLOOKUP(C642,Legend!$A$10:$A$26,Legend!$C$10:$C$26,"NOT FOUND",0,1))</f>
        <v/>
      </c>
      <c r="F642" s="160" t="str">
        <f>IF(C642="","",_xlfn.XLOOKUP(D642,Legend!$A$29:$A$118,Legend!$B$29:$B$118,"NOT FOUND",0,1))</f>
        <v/>
      </c>
      <c r="G642" s="268" t="str">
        <f>IF(C642="","",_xlfn.XLOOKUP(D642,Legend!$A$29:$A$118,Legend!$C$29:$C$118,"NOT FOUND",0,1))</f>
        <v/>
      </c>
    </row>
    <row r="643" spans="1:7" x14ac:dyDescent="0.2">
      <c r="A643" s="3">
        <v>1</v>
      </c>
      <c r="C643" s="3" t="str">
        <f>IF(B643="","",IF(ISNUMBER(VALUE(_xlfn.TEXTBEFORE(B643," "))),_xlfn.XLOOKUP(VALUE(_xlfn.TEXTBEFORE(B643," ")),Legend!$B$11:$B$26,Legend!$A$11:$A$26,"NOT FOUND",0,1),_xlfn.TEXTBEFORE(B643," ")))</f>
        <v/>
      </c>
      <c r="D643" s="3" t="str">
        <f t="shared" si="11"/>
        <v/>
      </c>
      <c r="E643" s="159" t="str">
        <f>IF(C643="","",_xlfn.XLOOKUP(C643,Legend!$A$10:$A$26,Legend!$C$10:$C$26,"NOT FOUND",0,1))</f>
        <v/>
      </c>
      <c r="F643" s="160" t="str">
        <f>IF(C643="","",_xlfn.XLOOKUP(D643,Legend!$A$29:$A$118,Legend!$B$29:$B$118,"NOT FOUND",0,1))</f>
        <v/>
      </c>
      <c r="G643" s="268" t="str">
        <f>IF(C643="","",_xlfn.XLOOKUP(D643,Legend!$A$29:$A$118,Legend!$C$29:$C$118,"NOT FOUND",0,1))</f>
        <v/>
      </c>
    </row>
    <row r="644" spans="1:7" x14ac:dyDescent="0.2">
      <c r="A644" s="3">
        <v>1</v>
      </c>
      <c r="C644" s="3" t="str">
        <f>IF(B644="","",IF(ISNUMBER(VALUE(_xlfn.TEXTBEFORE(B644," "))),_xlfn.XLOOKUP(VALUE(_xlfn.TEXTBEFORE(B644," ")),Legend!$B$11:$B$26,Legend!$A$11:$A$26,"NOT FOUND",0,1),_xlfn.TEXTBEFORE(B644," ")))</f>
        <v/>
      </c>
      <c r="D644" s="3" t="str">
        <f t="shared" si="11"/>
        <v/>
      </c>
      <c r="E644" s="159" t="str">
        <f>IF(C644="","",_xlfn.XLOOKUP(C644,Legend!$A$10:$A$26,Legend!$C$10:$C$26,"NOT FOUND",0,1))</f>
        <v/>
      </c>
      <c r="F644" s="160" t="str">
        <f>IF(C644="","",_xlfn.XLOOKUP(D644,Legend!$A$29:$A$118,Legend!$B$29:$B$118,"NOT FOUND",0,1))</f>
        <v/>
      </c>
      <c r="G644" s="268" t="str">
        <f>IF(C644="","",_xlfn.XLOOKUP(D644,Legend!$A$29:$A$118,Legend!$C$29:$C$118,"NOT FOUND",0,1))</f>
        <v/>
      </c>
    </row>
    <row r="645" spans="1:7" x14ac:dyDescent="0.2">
      <c r="A645" s="3">
        <v>1</v>
      </c>
      <c r="C645" s="3" t="str">
        <f>IF(B645="","",IF(ISNUMBER(VALUE(_xlfn.TEXTBEFORE(B645," "))),_xlfn.XLOOKUP(VALUE(_xlfn.TEXTBEFORE(B645," ")),Legend!$B$11:$B$26,Legend!$A$11:$A$26,"NOT FOUND",0,1),_xlfn.TEXTBEFORE(B645," ")))</f>
        <v/>
      </c>
      <c r="D645" s="3" t="str">
        <f t="shared" si="11"/>
        <v/>
      </c>
      <c r="E645" s="159" t="str">
        <f>IF(C645="","",_xlfn.XLOOKUP(C645,Legend!$A$10:$A$26,Legend!$C$10:$C$26,"NOT FOUND",0,1))</f>
        <v/>
      </c>
      <c r="F645" s="160" t="str">
        <f>IF(C645="","",_xlfn.XLOOKUP(D645,Legend!$A$29:$A$118,Legend!$B$29:$B$118,"NOT FOUND",0,1))</f>
        <v/>
      </c>
      <c r="G645" s="268" t="str">
        <f>IF(C645="","",_xlfn.XLOOKUP(D645,Legend!$A$29:$A$118,Legend!$C$29:$C$118,"NOT FOUND",0,1))</f>
        <v/>
      </c>
    </row>
    <row r="646" spans="1:7" x14ac:dyDescent="0.2">
      <c r="A646" s="3">
        <v>1</v>
      </c>
      <c r="C646" s="3" t="str">
        <f>IF(B646="","",IF(ISNUMBER(VALUE(_xlfn.TEXTBEFORE(B646," "))),_xlfn.XLOOKUP(VALUE(_xlfn.TEXTBEFORE(B646," ")),Legend!$B$11:$B$26,Legend!$A$11:$A$26,"NOT FOUND",0,1),_xlfn.TEXTBEFORE(B646," ")))</f>
        <v/>
      </c>
      <c r="D646" s="3" t="str">
        <f t="shared" ref="D646:D709" si="12">IF(B646="","",_xlfn.TEXTAFTER(B646," "))</f>
        <v/>
      </c>
      <c r="E646" s="159" t="str">
        <f>IF(C646="","",_xlfn.XLOOKUP(C646,Legend!$A$10:$A$26,Legend!$C$10:$C$26,"NOT FOUND",0,1))</f>
        <v/>
      </c>
      <c r="F646" s="160" t="str">
        <f>IF(C646="","",_xlfn.XLOOKUP(D646,Legend!$A$29:$A$118,Legend!$B$29:$B$118,"NOT FOUND",0,1))</f>
        <v/>
      </c>
      <c r="G646" s="268" t="str">
        <f>IF(C646="","",_xlfn.XLOOKUP(D646,Legend!$A$29:$A$118,Legend!$C$29:$C$118,"NOT FOUND",0,1))</f>
        <v/>
      </c>
    </row>
    <row r="647" spans="1:7" x14ac:dyDescent="0.2">
      <c r="A647" s="3">
        <v>1</v>
      </c>
      <c r="C647" s="3" t="str">
        <f>IF(B647="","",IF(ISNUMBER(VALUE(_xlfn.TEXTBEFORE(B647," "))),_xlfn.XLOOKUP(VALUE(_xlfn.TEXTBEFORE(B647," ")),Legend!$B$11:$B$26,Legend!$A$11:$A$26,"NOT FOUND",0,1),_xlfn.TEXTBEFORE(B647," ")))</f>
        <v/>
      </c>
      <c r="D647" s="3" t="str">
        <f t="shared" si="12"/>
        <v/>
      </c>
      <c r="E647" s="159" t="str">
        <f>IF(C647="","",_xlfn.XLOOKUP(C647,Legend!$A$10:$A$26,Legend!$C$10:$C$26,"NOT FOUND",0,1))</f>
        <v/>
      </c>
      <c r="F647" s="160" t="str">
        <f>IF(C647="","",_xlfn.XLOOKUP(D647,Legend!$A$29:$A$118,Legend!$B$29:$B$118,"NOT FOUND",0,1))</f>
        <v/>
      </c>
      <c r="G647" s="268" t="str">
        <f>IF(C647="","",_xlfn.XLOOKUP(D647,Legend!$A$29:$A$118,Legend!$C$29:$C$118,"NOT FOUND",0,1))</f>
        <v/>
      </c>
    </row>
    <row r="648" spans="1:7" x14ac:dyDescent="0.2">
      <c r="A648" s="3">
        <v>1</v>
      </c>
      <c r="C648" s="3" t="str">
        <f>IF(B648="","",IF(ISNUMBER(VALUE(_xlfn.TEXTBEFORE(B648," "))),_xlfn.XLOOKUP(VALUE(_xlfn.TEXTBEFORE(B648," ")),Legend!$B$11:$B$26,Legend!$A$11:$A$26,"NOT FOUND",0,1),_xlfn.TEXTBEFORE(B648," ")))</f>
        <v/>
      </c>
      <c r="D648" s="3" t="str">
        <f t="shared" si="12"/>
        <v/>
      </c>
      <c r="E648" s="159" t="str">
        <f>IF(C648="","",_xlfn.XLOOKUP(C648,Legend!$A$10:$A$26,Legend!$C$10:$C$26,"NOT FOUND",0,1))</f>
        <v/>
      </c>
      <c r="F648" s="160" t="str">
        <f>IF(C648="","",_xlfn.XLOOKUP(D648,Legend!$A$29:$A$118,Legend!$B$29:$B$118,"NOT FOUND",0,1))</f>
        <v/>
      </c>
      <c r="G648" s="268" t="str">
        <f>IF(C648="","",_xlfn.XLOOKUP(D648,Legend!$A$29:$A$118,Legend!$C$29:$C$118,"NOT FOUND",0,1))</f>
        <v/>
      </c>
    </row>
    <row r="649" spans="1:7" x14ac:dyDescent="0.2">
      <c r="A649" s="3">
        <v>1</v>
      </c>
      <c r="C649" s="3" t="str">
        <f>IF(B649="","",IF(ISNUMBER(VALUE(_xlfn.TEXTBEFORE(B649," "))),_xlfn.XLOOKUP(VALUE(_xlfn.TEXTBEFORE(B649," ")),Legend!$B$11:$B$26,Legend!$A$11:$A$26,"NOT FOUND",0,1),_xlfn.TEXTBEFORE(B649," ")))</f>
        <v/>
      </c>
      <c r="D649" s="3" t="str">
        <f t="shared" si="12"/>
        <v/>
      </c>
      <c r="E649" s="159" t="str">
        <f>IF(C649="","",_xlfn.XLOOKUP(C649,Legend!$A$10:$A$26,Legend!$C$10:$C$26,"NOT FOUND",0,1))</f>
        <v/>
      </c>
      <c r="F649" s="160" t="str">
        <f>IF(C649="","",_xlfn.XLOOKUP(D649,Legend!$A$29:$A$118,Legend!$B$29:$B$118,"NOT FOUND",0,1))</f>
        <v/>
      </c>
      <c r="G649" s="268" t="str">
        <f>IF(C649="","",_xlfn.XLOOKUP(D649,Legend!$A$29:$A$118,Legend!$C$29:$C$118,"NOT FOUND",0,1))</f>
        <v/>
      </c>
    </row>
    <row r="650" spans="1:7" x14ac:dyDescent="0.2">
      <c r="A650" s="3">
        <v>1</v>
      </c>
      <c r="C650" s="3" t="str">
        <f>IF(B650="","",IF(ISNUMBER(VALUE(_xlfn.TEXTBEFORE(B650," "))),_xlfn.XLOOKUP(VALUE(_xlfn.TEXTBEFORE(B650," ")),Legend!$B$11:$B$26,Legend!$A$11:$A$26,"NOT FOUND",0,1),_xlfn.TEXTBEFORE(B650," ")))</f>
        <v/>
      </c>
      <c r="D650" s="3" t="str">
        <f t="shared" si="12"/>
        <v/>
      </c>
      <c r="E650" s="159" t="str">
        <f>IF(C650="","",_xlfn.XLOOKUP(C650,Legend!$A$10:$A$26,Legend!$C$10:$C$26,"NOT FOUND",0,1))</f>
        <v/>
      </c>
      <c r="F650" s="160" t="str">
        <f>IF(C650="","",_xlfn.XLOOKUP(D650,Legend!$A$29:$A$118,Legend!$B$29:$B$118,"NOT FOUND",0,1))</f>
        <v/>
      </c>
      <c r="G650" s="268" t="str">
        <f>IF(C650="","",_xlfn.XLOOKUP(D650,Legend!$A$29:$A$118,Legend!$C$29:$C$118,"NOT FOUND",0,1))</f>
        <v/>
      </c>
    </row>
    <row r="651" spans="1:7" x14ac:dyDescent="0.2">
      <c r="A651" s="3">
        <v>1</v>
      </c>
      <c r="C651" s="3" t="str">
        <f>IF(B651="","",IF(ISNUMBER(VALUE(_xlfn.TEXTBEFORE(B651," "))),_xlfn.XLOOKUP(VALUE(_xlfn.TEXTBEFORE(B651," ")),Legend!$B$11:$B$26,Legend!$A$11:$A$26,"NOT FOUND",0,1),_xlfn.TEXTBEFORE(B651," ")))</f>
        <v/>
      </c>
      <c r="D651" s="3" t="str">
        <f t="shared" si="12"/>
        <v/>
      </c>
      <c r="E651" s="159" t="str">
        <f>IF(C651="","",_xlfn.XLOOKUP(C651,Legend!$A$10:$A$26,Legend!$C$10:$C$26,"NOT FOUND",0,1))</f>
        <v/>
      </c>
      <c r="F651" s="160" t="str">
        <f>IF(C651="","",_xlfn.XLOOKUP(D651,Legend!$A$29:$A$118,Legend!$B$29:$B$118,"NOT FOUND",0,1))</f>
        <v/>
      </c>
      <c r="G651" s="268" t="str">
        <f>IF(C651="","",_xlfn.XLOOKUP(D651,Legend!$A$29:$A$118,Legend!$C$29:$C$118,"NOT FOUND",0,1))</f>
        <v/>
      </c>
    </row>
    <row r="652" spans="1:7" x14ac:dyDescent="0.2">
      <c r="A652" s="3">
        <v>1</v>
      </c>
      <c r="C652" s="3" t="str">
        <f>IF(B652="","",IF(ISNUMBER(VALUE(_xlfn.TEXTBEFORE(B652," "))),_xlfn.XLOOKUP(VALUE(_xlfn.TEXTBEFORE(B652," ")),Legend!$B$11:$B$26,Legend!$A$11:$A$26,"NOT FOUND",0,1),_xlfn.TEXTBEFORE(B652," ")))</f>
        <v/>
      </c>
      <c r="D652" s="3" t="str">
        <f t="shared" si="12"/>
        <v/>
      </c>
      <c r="E652" s="159" t="str">
        <f>IF(C652="","",_xlfn.XLOOKUP(C652,Legend!$A$10:$A$26,Legend!$C$10:$C$26,"NOT FOUND",0,1))</f>
        <v/>
      </c>
      <c r="F652" s="160" t="str">
        <f>IF(C652="","",_xlfn.XLOOKUP(D652,Legend!$A$29:$A$118,Legend!$B$29:$B$118,"NOT FOUND",0,1))</f>
        <v/>
      </c>
      <c r="G652" s="268" t="str">
        <f>IF(C652="","",_xlfn.XLOOKUP(D652,Legend!$A$29:$A$118,Legend!$C$29:$C$118,"NOT FOUND",0,1))</f>
        <v/>
      </c>
    </row>
    <row r="653" spans="1:7" x14ac:dyDescent="0.2">
      <c r="A653" s="3">
        <v>1</v>
      </c>
      <c r="C653" s="3" t="str">
        <f>IF(B653="","",IF(ISNUMBER(VALUE(_xlfn.TEXTBEFORE(B653," "))),_xlfn.XLOOKUP(VALUE(_xlfn.TEXTBEFORE(B653," ")),Legend!$B$11:$B$26,Legend!$A$11:$A$26,"NOT FOUND",0,1),_xlfn.TEXTBEFORE(B653," ")))</f>
        <v/>
      </c>
      <c r="D653" s="3" t="str">
        <f t="shared" si="12"/>
        <v/>
      </c>
      <c r="E653" s="159" t="str">
        <f>IF(C653="","",_xlfn.XLOOKUP(C653,Legend!$A$10:$A$26,Legend!$C$10:$C$26,"NOT FOUND",0,1))</f>
        <v/>
      </c>
      <c r="F653" s="160" t="str">
        <f>IF(C653="","",_xlfn.XLOOKUP(D653,Legend!$A$29:$A$118,Legend!$B$29:$B$118,"NOT FOUND",0,1))</f>
        <v/>
      </c>
      <c r="G653" s="268" t="str">
        <f>IF(C653="","",_xlfn.XLOOKUP(D653,Legend!$A$29:$A$118,Legend!$C$29:$C$118,"NOT FOUND",0,1))</f>
        <v/>
      </c>
    </row>
    <row r="654" spans="1:7" x14ac:dyDescent="0.2">
      <c r="A654" s="3">
        <v>1</v>
      </c>
      <c r="C654" s="3" t="str">
        <f>IF(B654="","",IF(ISNUMBER(VALUE(_xlfn.TEXTBEFORE(B654," "))),_xlfn.XLOOKUP(VALUE(_xlfn.TEXTBEFORE(B654," ")),Legend!$B$11:$B$26,Legend!$A$11:$A$26,"NOT FOUND",0,1),_xlfn.TEXTBEFORE(B654," ")))</f>
        <v/>
      </c>
      <c r="D654" s="3" t="str">
        <f t="shared" si="12"/>
        <v/>
      </c>
      <c r="E654" s="159" t="str">
        <f>IF(C654="","",_xlfn.XLOOKUP(C654,Legend!$A$10:$A$26,Legend!$C$10:$C$26,"NOT FOUND",0,1))</f>
        <v/>
      </c>
      <c r="F654" s="160" t="str">
        <f>IF(C654="","",_xlfn.XLOOKUP(D654,Legend!$A$29:$A$118,Legend!$B$29:$B$118,"NOT FOUND",0,1))</f>
        <v/>
      </c>
      <c r="G654" s="268" t="str">
        <f>IF(C654="","",_xlfn.XLOOKUP(D654,Legend!$A$29:$A$118,Legend!$C$29:$C$118,"NOT FOUND",0,1))</f>
        <v/>
      </c>
    </row>
    <row r="655" spans="1:7" x14ac:dyDescent="0.2">
      <c r="A655" s="3">
        <v>1</v>
      </c>
      <c r="C655" s="3" t="str">
        <f>IF(B655="","",IF(ISNUMBER(VALUE(_xlfn.TEXTBEFORE(B655," "))),_xlfn.XLOOKUP(VALUE(_xlfn.TEXTBEFORE(B655," ")),Legend!$B$11:$B$26,Legend!$A$11:$A$26,"NOT FOUND",0,1),_xlfn.TEXTBEFORE(B655," ")))</f>
        <v/>
      </c>
      <c r="D655" s="3" t="str">
        <f t="shared" si="12"/>
        <v/>
      </c>
      <c r="E655" s="159" t="str">
        <f>IF(C655="","",_xlfn.XLOOKUP(C655,Legend!$A$10:$A$26,Legend!$C$10:$C$26,"NOT FOUND",0,1))</f>
        <v/>
      </c>
      <c r="F655" s="160" t="str">
        <f>IF(C655="","",_xlfn.XLOOKUP(D655,Legend!$A$29:$A$118,Legend!$B$29:$B$118,"NOT FOUND",0,1))</f>
        <v/>
      </c>
      <c r="G655" s="268" t="str">
        <f>IF(C655="","",_xlfn.XLOOKUP(D655,Legend!$A$29:$A$118,Legend!$C$29:$C$118,"NOT FOUND",0,1))</f>
        <v/>
      </c>
    </row>
    <row r="656" spans="1:7" x14ac:dyDescent="0.2">
      <c r="A656" s="3">
        <v>1</v>
      </c>
      <c r="C656" s="3" t="str">
        <f>IF(B656="","",IF(ISNUMBER(VALUE(_xlfn.TEXTBEFORE(B656," "))),_xlfn.XLOOKUP(VALUE(_xlfn.TEXTBEFORE(B656," ")),Legend!$B$11:$B$26,Legend!$A$11:$A$26,"NOT FOUND",0,1),_xlfn.TEXTBEFORE(B656," ")))</f>
        <v/>
      </c>
      <c r="D656" s="3" t="str">
        <f t="shared" si="12"/>
        <v/>
      </c>
      <c r="E656" s="159" t="str">
        <f>IF(C656="","",_xlfn.XLOOKUP(C656,Legend!$A$10:$A$26,Legend!$C$10:$C$26,"NOT FOUND",0,1))</f>
        <v/>
      </c>
      <c r="F656" s="160" t="str">
        <f>IF(C656="","",_xlfn.XLOOKUP(D656,Legend!$A$29:$A$118,Legend!$B$29:$B$118,"NOT FOUND",0,1))</f>
        <v/>
      </c>
      <c r="G656" s="268" t="str">
        <f>IF(C656="","",_xlfn.XLOOKUP(D656,Legend!$A$29:$A$118,Legend!$C$29:$C$118,"NOT FOUND",0,1))</f>
        <v/>
      </c>
    </row>
    <row r="657" spans="1:7" x14ac:dyDescent="0.2">
      <c r="A657" s="3">
        <v>1</v>
      </c>
      <c r="C657" s="3" t="str">
        <f>IF(B657="","",IF(ISNUMBER(VALUE(_xlfn.TEXTBEFORE(B657," "))),_xlfn.XLOOKUP(VALUE(_xlfn.TEXTBEFORE(B657," ")),Legend!$B$11:$B$26,Legend!$A$11:$A$26,"NOT FOUND",0,1),_xlfn.TEXTBEFORE(B657," ")))</f>
        <v/>
      </c>
      <c r="D657" s="3" t="str">
        <f t="shared" si="12"/>
        <v/>
      </c>
      <c r="E657" s="159" t="str">
        <f>IF(C657="","",_xlfn.XLOOKUP(C657,Legend!$A$10:$A$26,Legend!$C$10:$C$26,"NOT FOUND",0,1))</f>
        <v/>
      </c>
      <c r="F657" s="160" t="str">
        <f>IF(C657="","",_xlfn.XLOOKUP(D657,Legend!$A$29:$A$118,Legend!$B$29:$B$118,"NOT FOUND",0,1))</f>
        <v/>
      </c>
      <c r="G657" s="268" t="str">
        <f>IF(C657="","",_xlfn.XLOOKUP(D657,Legend!$A$29:$A$118,Legend!$C$29:$C$118,"NOT FOUND",0,1))</f>
        <v/>
      </c>
    </row>
    <row r="658" spans="1:7" x14ac:dyDescent="0.2">
      <c r="A658" s="3">
        <v>1</v>
      </c>
      <c r="C658" s="3" t="str">
        <f>IF(B658="","",IF(ISNUMBER(VALUE(_xlfn.TEXTBEFORE(B658," "))),_xlfn.XLOOKUP(VALUE(_xlfn.TEXTBEFORE(B658," ")),Legend!$B$11:$B$26,Legend!$A$11:$A$26,"NOT FOUND",0,1),_xlfn.TEXTBEFORE(B658," ")))</f>
        <v/>
      </c>
      <c r="D658" s="3" t="str">
        <f t="shared" si="12"/>
        <v/>
      </c>
      <c r="E658" s="159" t="str">
        <f>IF(C658="","",_xlfn.XLOOKUP(C658,Legend!$A$10:$A$26,Legend!$C$10:$C$26,"NOT FOUND",0,1))</f>
        <v/>
      </c>
      <c r="F658" s="160" t="str">
        <f>IF(C658="","",_xlfn.XLOOKUP(D658,Legend!$A$29:$A$118,Legend!$B$29:$B$118,"NOT FOUND",0,1))</f>
        <v/>
      </c>
      <c r="G658" s="268" t="str">
        <f>IF(C658="","",_xlfn.XLOOKUP(D658,Legend!$A$29:$A$118,Legend!$C$29:$C$118,"NOT FOUND",0,1))</f>
        <v/>
      </c>
    </row>
    <row r="659" spans="1:7" x14ac:dyDescent="0.2">
      <c r="A659" s="3">
        <v>1</v>
      </c>
      <c r="C659" s="3" t="str">
        <f>IF(B659="","",IF(ISNUMBER(VALUE(_xlfn.TEXTBEFORE(B659," "))),_xlfn.XLOOKUP(VALUE(_xlfn.TEXTBEFORE(B659," ")),Legend!$B$11:$B$26,Legend!$A$11:$A$26,"NOT FOUND",0,1),_xlfn.TEXTBEFORE(B659," ")))</f>
        <v/>
      </c>
      <c r="D659" s="3" t="str">
        <f t="shared" si="12"/>
        <v/>
      </c>
      <c r="E659" s="159" t="str">
        <f>IF(C659="","",_xlfn.XLOOKUP(C659,Legend!$A$10:$A$26,Legend!$C$10:$C$26,"NOT FOUND",0,1))</f>
        <v/>
      </c>
      <c r="F659" s="160" t="str">
        <f>IF(C659="","",_xlfn.XLOOKUP(D659,Legend!$A$29:$A$118,Legend!$B$29:$B$118,"NOT FOUND",0,1))</f>
        <v/>
      </c>
      <c r="G659" s="268" t="str">
        <f>IF(C659="","",_xlfn.XLOOKUP(D659,Legend!$A$29:$A$118,Legend!$C$29:$C$118,"NOT FOUND",0,1))</f>
        <v/>
      </c>
    </row>
    <row r="660" spans="1:7" x14ac:dyDescent="0.2">
      <c r="A660" s="3">
        <v>1</v>
      </c>
      <c r="C660" s="3" t="str">
        <f>IF(B660="","",IF(ISNUMBER(VALUE(_xlfn.TEXTBEFORE(B660," "))),_xlfn.XLOOKUP(VALUE(_xlfn.TEXTBEFORE(B660," ")),Legend!$B$11:$B$26,Legend!$A$11:$A$26,"NOT FOUND",0,1),_xlfn.TEXTBEFORE(B660," ")))</f>
        <v/>
      </c>
      <c r="D660" s="3" t="str">
        <f t="shared" si="12"/>
        <v/>
      </c>
      <c r="E660" s="159" t="str">
        <f>IF(C660="","",_xlfn.XLOOKUP(C660,Legend!$A$10:$A$26,Legend!$C$10:$C$26,"NOT FOUND",0,1))</f>
        <v/>
      </c>
      <c r="F660" s="160" t="str">
        <f>IF(C660="","",_xlfn.XLOOKUP(D660,Legend!$A$29:$A$118,Legend!$B$29:$B$118,"NOT FOUND",0,1))</f>
        <v/>
      </c>
      <c r="G660" s="268" t="str">
        <f>IF(C660="","",_xlfn.XLOOKUP(D660,Legend!$A$29:$A$118,Legend!$C$29:$C$118,"NOT FOUND",0,1))</f>
        <v/>
      </c>
    </row>
    <row r="661" spans="1:7" x14ac:dyDescent="0.2">
      <c r="A661" s="3">
        <v>1</v>
      </c>
      <c r="C661" s="3" t="str">
        <f>IF(B661="","",IF(ISNUMBER(VALUE(_xlfn.TEXTBEFORE(B661," "))),_xlfn.XLOOKUP(VALUE(_xlfn.TEXTBEFORE(B661," ")),Legend!$B$11:$B$26,Legend!$A$11:$A$26,"NOT FOUND",0,1),_xlfn.TEXTBEFORE(B661," ")))</f>
        <v/>
      </c>
      <c r="D661" s="3" t="str">
        <f t="shared" si="12"/>
        <v/>
      </c>
      <c r="E661" s="159" t="str">
        <f>IF(C661="","",_xlfn.XLOOKUP(C661,Legend!$A$10:$A$26,Legend!$C$10:$C$26,"NOT FOUND",0,1))</f>
        <v/>
      </c>
      <c r="F661" s="160" t="str">
        <f>IF(C661="","",_xlfn.XLOOKUP(D661,Legend!$A$29:$A$118,Legend!$B$29:$B$118,"NOT FOUND",0,1))</f>
        <v/>
      </c>
      <c r="G661" s="268" t="str">
        <f>IF(C661="","",_xlfn.XLOOKUP(D661,Legend!$A$29:$A$118,Legend!$C$29:$C$118,"NOT FOUND",0,1))</f>
        <v/>
      </c>
    </row>
    <row r="662" spans="1:7" x14ac:dyDescent="0.2">
      <c r="A662" s="3">
        <v>1</v>
      </c>
      <c r="C662" s="3" t="str">
        <f>IF(B662="","",IF(ISNUMBER(VALUE(_xlfn.TEXTBEFORE(B662," "))),_xlfn.XLOOKUP(VALUE(_xlfn.TEXTBEFORE(B662," ")),Legend!$B$11:$B$26,Legend!$A$11:$A$26,"NOT FOUND",0,1),_xlfn.TEXTBEFORE(B662," ")))</f>
        <v/>
      </c>
      <c r="D662" s="3" t="str">
        <f t="shared" si="12"/>
        <v/>
      </c>
      <c r="E662" s="159" t="str">
        <f>IF(C662="","",_xlfn.XLOOKUP(C662,Legend!$A$10:$A$26,Legend!$C$10:$C$26,"NOT FOUND",0,1))</f>
        <v/>
      </c>
      <c r="F662" s="160" t="str">
        <f>IF(C662="","",_xlfn.XLOOKUP(D662,Legend!$A$29:$A$118,Legend!$B$29:$B$118,"NOT FOUND",0,1))</f>
        <v/>
      </c>
      <c r="G662" s="268" t="str">
        <f>IF(C662="","",_xlfn.XLOOKUP(D662,Legend!$A$29:$A$118,Legend!$C$29:$C$118,"NOT FOUND",0,1))</f>
        <v/>
      </c>
    </row>
    <row r="663" spans="1:7" x14ac:dyDescent="0.2">
      <c r="A663" s="3">
        <v>1</v>
      </c>
      <c r="C663" s="3" t="str">
        <f>IF(B663="","",IF(ISNUMBER(VALUE(_xlfn.TEXTBEFORE(B663," "))),_xlfn.XLOOKUP(VALUE(_xlfn.TEXTBEFORE(B663," ")),Legend!$B$11:$B$26,Legend!$A$11:$A$26,"NOT FOUND",0,1),_xlfn.TEXTBEFORE(B663," ")))</f>
        <v/>
      </c>
      <c r="D663" s="3" t="str">
        <f t="shared" si="12"/>
        <v/>
      </c>
      <c r="E663" s="159" t="str">
        <f>IF(C663="","",_xlfn.XLOOKUP(C663,Legend!$A$10:$A$26,Legend!$C$10:$C$26,"NOT FOUND",0,1))</f>
        <v/>
      </c>
      <c r="F663" s="160" t="str">
        <f>IF(C663="","",_xlfn.XLOOKUP(D663,Legend!$A$29:$A$118,Legend!$B$29:$B$118,"NOT FOUND",0,1))</f>
        <v/>
      </c>
      <c r="G663" s="268" t="str">
        <f>IF(C663="","",_xlfn.XLOOKUP(D663,Legend!$A$29:$A$118,Legend!$C$29:$C$118,"NOT FOUND",0,1))</f>
        <v/>
      </c>
    </row>
    <row r="664" spans="1:7" x14ac:dyDescent="0.2">
      <c r="A664" s="3">
        <v>1</v>
      </c>
      <c r="C664" s="3" t="str">
        <f>IF(B664="","",IF(ISNUMBER(VALUE(_xlfn.TEXTBEFORE(B664," "))),_xlfn.XLOOKUP(VALUE(_xlfn.TEXTBEFORE(B664," ")),Legend!$B$11:$B$26,Legend!$A$11:$A$26,"NOT FOUND",0,1),_xlfn.TEXTBEFORE(B664," ")))</f>
        <v/>
      </c>
      <c r="D664" s="3" t="str">
        <f t="shared" si="12"/>
        <v/>
      </c>
      <c r="E664" s="159" t="str">
        <f>IF(C664="","",_xlfn.XLOOKUP(C664,Legend!$A$10:$A$26,Legend!$C$10:$C$26,"NOT FOUND",0,1))</f>
        <v/>
      </c>
      <c r="F664" s="160" t="str">
        <f>IF(C664="","",_xlfn.XLOOKUP(D664,Legend!$A$29:$A$118,Legend!$B$29:$B$118,"NOT FOUND",0,1))</f>
        <v/>
      </c>
      <c r="G664" s="268" t="str">
        <f>IF(C664="","",_xlfn.XLOOKUP(D664,Legend!$A$29:$A$118,Legend!$C$29:$C$118,"NOT FOUND",0,1))</f>
        <v/>
      </c>
    </row>
    <row r="665" spans="1:7" x14ac:dyDescent="0.2">
      <c r="A665" s="3">
        <v>1</v>
      </c>
      <c r="C665" s="3" t="str">
        <f>IF(B665="","",IF(ISNUMBER(VALUE(_xlfn.TEXTBEFORE(B665," "))),_xlfn.XLOOKUP(VALUE(_xlfn.TEXTBEFORE(B665," ")),Legend!$B$11:$B$26,Legend!$A$11:$A$26,"NOT FOUND",0,1),_xlfn.TEXTBEFORE(B665," ")))</f>
        <v/>
      </c>
      <c r="D665" s="3" t="str">
        <f t="shared" si="12"/>
        <v/>
      </c>
      <c r="E665" s="159" t="str">
        <f>IF(C665="","",_xlfn.XLOOKUP(C665,Legend!$A$10:$A$26,Legend!$C$10:$C$26,"NOT FOUND",0,1))</f>
        <v/>
      </c>
      <c r="F665" s="160" t="str">
        <f>IF(C665="","",_xlfn.XLOOKUP(D665,Legend!$A$29:$A$118,Legend!$B$29:$B$118,"NOT FOUND",0,1))</f>
        <v/>
      </c>
      <c r="G665" s="268" t="str">
        <f>IF(C665="","",_xlfn.XLOOKUP(D665,Legend!$A$29:$A$118,Legend!$C$29:$C$118,"NOT FOUND",0,1))</f>
        <v/>
      </c>
    </row>
    <row r="666" spans="1:7" x14ac:dyDescent="0.2">
      <c r="A666" s="3">
        <v>1</v>
      </c>
      <c r="C666" s="3" t="str">
        <f>IF(B666="","",IF(ISNUMBER(VALUE(_xlfn.TEXTBEFORE(B666," "))),_xlfn.XLOOKUP(VALUE(_xlfn.TEXTBEFORE(B666," ")),Legend!$B$11:$B$26,Legend!$A$11:$A$26,"NOT FOUND",0,1),_xlfn.TEXTBEFORE(B666," ")))</f>
        <v/>
      </c>
      <c r="D666" s="3" t="str">
        <f t="shared" si="12"/>
        <v/>
      </c>
      <c r="E666" s="159" t="str">
        <f>IF(C666="","",_xlfn.XLOOKUP(C666,Legend!$A$10:$A$26,Legend!$C$10:$C$26,"NOT FOUND",0,1))</f>
        <v/>
      </c>
      <c r="F666" s="160" t="str">
        <f>IF(C666="","",_xlfn.XLOOKUP(D666,Legend!$A$29:$A$118,Legend!$B$29:$B$118,"NOT FOUND",0,1))</f>
        <v/>
      </c>
      <c r="G666" s="268" t="str">
        <f>IF(C666="","",_xlfn.XLOOKUP(D666,Legend!$A$29:$A$118,Legend!$C$29:$C$118,"NOT FOUND",0,1))</f>
        <v/>
      </c>
    </row>
    <row r="667" spans="1:7" x14ac:dyDescent="0.2">
      <c r="A667" s="3">
        <v>1</v>
      </c>
      <c r="C667" s="3" t="str">
        <f>IF(B667="","",IF(ISNUMBER(VALUE(_xlfn.TEXTBEFORE(B667," "))),_xlfn.XLOOKUP(VALUE(_xlfn.TEXTBEFORE(B667," ")),Legend!$B$11:$B$26,Legend!$A$11:$A$26,"NOT FOUND",0,1),_xlfn.TEXTBEFORE(B667," ")))</f>
        <v/>
      </c>
      <c r="D667" s="3" t="str">
        <f t="shared" si="12"/>
        <v/>
      </c>
      <c r="E667" s="159" t="str">
        <f>IF(C667="","",_xlfn.XLOOKUP(C667,Legend!$A$10:$A$26,Legend!$C$10:$C$26,"NOT FOUND",0,1))</f>
        <v/>
      </c>
      <c r="F667" s="160" t="str">
        <f>IF(C667="","",_xlfn.XLOOKUP(D667,Legend!$A$29:$A$118,Legend!$B$29:$B$118,"NOT FOUND",0,1))</f>
        <v/>
      </c>
      <c r="G667" s="268" t="str">
        <f>IF(C667="","",_xlfn.XLOOKUP(D667,Legend!$A$29:$A$118,Legend!$C$29:$C$118,"NOT FOUND",0,1))</f>
        <v/>
      </c>
    </row>
    <row r="668" spans="1:7" x14ac:dyDescent="0.2">
      <c r="A668" s="3">
        <v>1</v>
      </c>
      <c r="C668" s="3" t="str">
        <f>IF(B668="","",IF(ISNUMBER(VALUE(_xlfn.TEXTBEFORE(B668," "))),_xlfn.XLOOKUP(VALUE(_xlfn.TEXTBEFORE(B668," ")),Legend!$B$11:$B$26,Legend!$A$11:$A$26,"NOT FOUND",0,1),_xlfn.TEXTBEFORE(B668," ")))</f>
        <v/>
      </c>
      <c r="D668" s="3" t="str">
        <f t="shared" si="12"/>
        <v/>
      </c>
      <c r="E668" s="159" t="str">
        <f>IF(C668="","",_xlfn.XLOOKUP(C668,Legend!$A$10:$A$26,Legend!$C$10:$C$26,"NOT FOUND",0,1))</f>
        <v/>
      </c>
      <c r="F668" s="160" t="str">
        <f>IF(C668="","",_xlfn.XLOOKUP(D668,Legend!$A$29:$A$118,Legend!$B$29:$B$118,"NOT FOUND",0,1))</f>
        <v/>
      </c>
      <c r="G668" s="268" t="str">
        <f>IF(C668="","",_xlfn.XLOOKUP(D668,Legend!$A$29:$A$118,Legend!$C$29:$C$118,"NOT FOUND",0,1))</f>
        <v/>
      </c>
    </row>
    <row r="669" spans="1:7" x14ac:dyDescent="0.2">
      <c r="A669" s="3">
        <v>1</v>
      </c>
      <c r="C669" s="3" t="str">
        <f>IF(B669="","",IF(ISNUMBER(VALUE(_xlfn.TEXTBEFORE(B669," "))),_xlfn.XLOOKUP(VALUE(_xlfn.TEXTBEFORE(B669," ")),Legend!$B$11:$B$26,Legend!$A$11:$A$26,"NOT FOUND",0,1),_xlfn.TEXTBEFORE(B669," ")))</f>
        <v/>
      </c>
      <c r="D669" s="3" t="str">
        <f t="shared" si="12"/>
        <v/>
      </c>
      <c r="E669" s="159" t="str">
        <f>IF(C669="","",_xlfn.XLOOKUP(C669,Legend!$A$10:$A$26,Legend!$C$10:$C$26,"NOT FOUND",0,1))</f>
        <v/>
      </c>
      <c r="F669" s="160" t="str">
        <f>IF(C669="","",_xlfn.XLOOKUP(D669,Legend!$A$29:$A$118,Legend!$B$29:$B$118,"NOT FOUND",0,1))</f>
        <v/>
      </c>
      <c r="G669" s="268" t="str">
        <f>IF(C669="","",_xlfn.XLOOKUP(D669,Legend!$A$29:$A$118,Legend!$C$29:$C$118,"NOT FOUND",0,1))</f>
        <v/>
      </c>
    </row>
    <row r="670" spans="1:7" x14ac:dyDescent="0.2">
      <c r="A670" s="3">
        <v>1</v>
      </c>
      <c r="C670" s="3" t="str">
        <f>IF(B670="","",IF(ISNUMBER(VALUE(_xlfn.TEXTBEFORE(B670," "))),_xlfn.XLOOKUP(VALUE(_xlfn.TEXTBEFORE(B670," ")),Legend!$B$11:$B$26,Legend!$A$11:$A$26,"NOT FOUND",0,1),_xlfn.TEXTBEFORE(B670," ")))</f>
        <v/>
      </c>
      <c r="D670" s="3" t="str">
        <f t="shared" si="12"/>
        <v/>
      </c>
      <c r="E670" s="159" t="str">
        <f>IF(C670="","",_xlfn.XLOOKUP(C670,Legend!$A$10:$A$26,Legend!$C$10:$C$26,"NOT FOUND",0,1))</f>
        <v/>
      </c>
      <c r="F670" s="160" t="str">
        <f>IF(C670="","",_xlfn.XLOOKUP(D670,Legend!$A$29:$A$118,Legend!$B$29:$B$118,"NOT FOUND",0,1))</f>
        <v/>
      </c>
      <c r="G670" s="268" t="str">
        <f>IF(C670="","",_xlfn.XLOOKUP(D670,Legend!$A$29:$A$118,Legend!$C$29:$C$118,"NOT FOUND",0,1))</f>
        <v/>
      </c>
    </row>
    <row r="671" spans="1:7" x14ac:dyDescent="0.2">
      <c r="A671" s="3">
        <v>1</v>
      </c>
      <c r="C671" s="3" t="str">
        <f>IF(B671="","",IF(ISNUMBER(VALUE(_xlfn.TEXTBEFORE(B671," "))),_xlfn.XLOOKUP(VALUE(_xlfn.TEXTBEFORE(B671," ")),Legend!$B$11:$B$26,Legend!$A$11:$A$26,"NOT FOUND",0,1),_xlfn.TEXTBEFORE(B671," ")))</f>
        <v/>
      </c>
      <c r="D671" s="3" t="str">
        <f t="shared" si="12"/>
        <v/>
      </c>
      <c r="E671" s="159" t="str">
        <f>IF(C671="","",_xlfn.XLOOKUP(C671,Legend!$A$10:$A$26,Legend!$C$10:$C$26,"NOT FOUND",0,1))</f>
        <v/>
      </c>
      <c r="F671" s="160" t="str">
        <f>IF(C671="","",_xlfn.XLOOKUP(D671,Legend!$A$29:$A$118,Legend!$B$29:$B$118,"NOT FOUND",0,1))</f>
        <v/>
      </c>
      <c r="G671" s="268" t="str">
        <f>IF(C671="","",_xlfn.XLOOKUP(D671,Legend!$A$29:$A$118,Legend!$C$29:$C$118,"NOT FOUND",0,1))</f>
        <v/>
      </c>
    </row>
    <row r="672" spans="1:7" x14ac:dyDescent="0.2">
      <c r="A672" s="3">
        <v>1</v>
      </c>
      <c r="C672" s="3" t="str">
        <f>IF(B672="","",IF(ISNUMBER(VALUE(_xlfn.TEXTBEFORE(B672," "))),_xlfn.XLOOKUP(VALUE(_xlfn.TEXTBEFORE(B672," ")),Legend!$B$11:$B$26,Legend!$A$11:$A$26,"NOT FOUND",0,1),_xlfn.TEXTBEFORE(B672," ")))</f>
        <v/>
      </c>
      <c r="D672" s="3" t="str">
        <f t="shared" si="12"/>
        <v/>
      </c>
      <c r="E672" s="159" t="str">
        <f>IF(C672="","",_xlfn.XLOOKUP(C672,Legend!$A$10:$A$26,Legend!$C$10:$C$26,"NOT FOUND",0,1))</f>
        <v/>
      </c>
      <c r="F672" s="160" t="str">
        <f>IF(C672="","",_xlfn.XLOOKUP(D672,Legend!$A$29:$A$118,Legend!$B$29:$B$118,"NOT FOUND",0,1))</f>
        <v/>
      </c>
      <c r="G672" s="268" t="str">
        <f>IF(C672="","",_xlfn.XLOOKUP(D672,Legend!$A$29:$A$118,Legend!$C$29:$C$118,"NOT FOUND",0,1))</f>
        <v/>
      </c>
    </row>
    <row r="673" spans="1:7" x14ac:dyDescent="0.2">
      <c r="A673" s="3">
        <v>1</v>
      </c>
      <c r="C673" s="3" t="str">
        <f>IF(B673="","",IF(ISNUMBER(VALUE(_xlfn.TEXTBEFORE(B673," "))),_xlfn.XLOOKUP(VALUE(_xlfn.TEXTBEFORE(B673," ")),Legend!$B$11:$B$26,Legend!$A$11:$A$26,"NOT FOUND",0,1),_xlfn.TEXTBEFORE(B673," ")))</f>
        <v/>
      </c>
      <c r="D673" s="3" t="str">
        <f t="shared" si="12"/>
        <v/>
      </c>
      <c r="E673" s="159" t="str">
        <f>IF(C673="","",_xlfn.XLOOKUP(C673,Legend!$A$10:$A$26,Legend!$C$10:$C$26,"NOT FOUND",0,1))</f>
        <v/>
      </c>
      <c r="F673" s="160" t="str">
        <f>IF(C673="","",_xlfn.XLOOKUP(D673,Legend!$A$29:$A$118,Legend!$B$29:$B$118,"NOT FOUND",0,1))</f>
        <v/>
      </c>
      <c r="G673" s="268" t="str">
        <f>IF(C673="","",_xlfn.XLOOKUP(D673,Legend!$A$29:$A$118,Legend!$C$29:$C$118,"NOT FOUND",0,1))</f>
        <v/>
      </c>
    </row>
    <row r="674" spans="1:7" x14ac:dyDescent="0.2">
      <c r="A674" s="3">
        <v>1</v>
      </c>
      <c r="C674" s="3" t="str">
        <f>IF(B674="","",IF(ISNUMBER(VALUE(_xlfn.TEXTBEFORE(B674," "))),_xlfn.XLOOKUP(VALUE(_xlfn.TEXTBEFORE(B674," ")),Legend!$B$11:$B$26,Legend!$A$11:$A$26,"NOT FOUND",0,1),_xlfn.TEXTBEFORE(B674," ")))</f>
        <v/>
      </c>
      <c r="D674" s="3" t="str">
        <f t="shared" si="12"/>
        <v/>
      </c>
      <c r="E674" s="159" t="str">
        <f>IF(C674="","",_xlfn.XLOOKUP(C674,Legend!$A$10:$A$26,Legend!$C$10:$C$26,"NOT FOUND",0,1))</f>
        <v/>
      </c>
      <c r="F674" s="160" t="str">
        <f>IF(C674="","",_xlfn.XLOOKUP(D674,Legend!$A$29:$A$118,Legend!$B$29:$B$118,"NOT FOUND",0,1))</f>
        <v/>
      </c>
      <c r="G674" s="268" t="str">
        <f>IF(C674="","",_xlfn.XLOOKUP(D674,Legend!$A$29:$A$118,Legend!$C$29:$C$118,"NOT FOUND",0,1))</f>
        <v/>
      </c>
    </row>
    <row r="675" spans="1:7" x14ac:dyDescent="0.2">
      <c r="A675" s="3">
        <v>1</v>
      </c>
      <c r="C675" s="3" t="str">
        <f>IF(B675="","",IF(ISNUMBER(VALUE(_xlfn.TEXTBEFORE(B675," "))),_xlfn.XLOOKUP(VALUE(_xlfn.TEXTBEFORE(B675," ")),Legend!$B$11:$B$26,Legend!$A$11:$A$26,"NOT FOUND",0,1),_xlfn.TEXTBEFORE(B675," ")))</f>
        <v/>
      </c>
      <c r="D675" s="3" t="str">
        <f t="shared" si="12"/>
        <v/>
      </c>
      <c r="E675" s="159" t="str">
        <f>IF(C675="","",_xlfn.XLOOKUP(C675,Legend!$A$10:$A$26,Legend!$C$10:$C$26,"NOT FOUND",0,1))</f>
        <v/>
      </c>
      <c r="F675" s="160" t="str">
        <f>IF(C675="","",_xlfn.XLOOKUP(D675,Legend!$A$29:$A$118,Legend!$B$29:$B$118,"NOT FOUND",0,1))</f>
        <v/>
      </c>
      <c r="G675" s="268" t="str">
        <f>IF(C675="","",_xlfn.XLOOKUP(D675,Legend!$A$29:$A$118,Legend!$C$29:$C$118,"NOT FOUND",0,1))</f>
        <v/>
      </c>
    </row>
    <row r="676" spans="1:7" x14ac:dyDescent="0.2">
      <c r="A676" s="3">
        <v>1</v>
      </c>
      <c r="C676" s="3" t="str">
        <f>IF(B676="","",IF(ISNUMBER(VALUE(_xlfn.TEXTBEFORE(B676," "))),_xlfn.XLOOKUP(VALUE(_xlfn.TEXTBEFORE(B676," ")),Legend!$B$11:$B$26,Legend!$A$11:$A$26,"NOT FOUND",0,1),_xlfn.TEXTBEFORE(B676," ")))</f>
        <v/>
      </c>
      <c r="D676" s="3" t="str">
        <f t="shared" si="12"/>
        <v/>
      </c>
      <c r="E676" s="159" t="str">
        <f>IF(C676="","",_xlfn.XLOOKUP(C676,Legend!$A$10:$A$26,Legend!$C$10:$C$26,"NOT FOUND",0,1))</f>
        <v/>
      </c>
      <c r="F676" s="160" t="str">
        <f>IF(C676="","",_xlfn.XLOOKUP(D676,Legend!$A$29:$A$118,Legend!$B$29:$B$118,"NOT FOUND",0,1))</f>
        <v/>
      </c>
      <c r="G676" s="268" t="str">
        <f>IF(C676="","",_xlfn.XLOOKUP(D676,Legend!$A$29:$A$118,Legend!$C$29:$C$118,"NOT FOUND",0,1))</f>
        <v/>
      </c>
    </row>
    <row r="677" spans="1:7" x14ac:dyDescent="0.2">
      <c r="A677" s="3">
        <v>1</v>
      </c>
      <c r="C677" s="3" t="str">
        <f>IF(B677="","",IF(ISNUMBER(VALUE(_xlfn.TEXTBEFORE(B677," "))),_xlfn.XLOOKUP(VALUE(_xlfn.TEXTBEFORE(B677," ")),Legend!$B$11:$B$26,Legend!$A$11:$A$26,"NOT FOUND",0,1),_xlfn.TEXTBEFORE(B677," ")))</f>
        <v/>
      </c>
      <c r="D677" s="3" t="str">
        <f t="shared" si="12"/>
        <v/>
      </c>
      <c r="E677" s="159" t="str">
        <f>IF(C677="","",_xlfn.XLOOKUP(C677,Legend!$A$10:$A$26,Legend!$C$10:$C$26,"NOT FOUND",0,1))</f>
        <v/>
      </c>
      <c r="F677" s="160" t="str">
        <f>IF(C677="","",_xlfn.XLOOKUP(D677,Legend!$A$29:$A$118,Legend!$B$29:$B$118,"NOT FOUND",0,1))</f>
        <v/>
      </c>
      <c r="G677" s="268" t="str">
        <f>IF(C677="","",_xlfn.XLOOKUP(D677,Legend!$A$29:$A$118,Legend!$C$29:$C$118,"NOT FOUND",0,1))</f>
        <v/>
      </c>
    </row>
    <row r="678" spans="1:7" x14ac:dyDescent="0.2">
      <c r="A678" s="3">
        <v>1</v>
      </c>
      <c r="C678" s="3" t="str">
        <f>IF(B678="","",IF(ISNUMBER(VALUE(_xlfn.TEXTBEFORE(B678," "))),_xlfn.XLOOKUP(VALUE(_xlfn.TEXTBEFORE(B678," ")),Legend!$B$11:$B$26,Legend!$A$11:$A$26,"NOT FOUND",0,1),_xlfn.TEXTBEFORE(B678," ")))</f>
        <v/>
      </c>
      <c r="D678" s="3" t="str">
        <f t="shared" si="12"/>
        <v/>
      </c>
      <c r="E678" s="159" t="str">
        <f>IF(C678="","",_xlfn.XLOOKUP(C678,Legend!$A$10:$A$26,Legend!$C$10:$C$26,"NOT FOUND",0,1))</f>
        <v/>
      </c>
      <c r="F678" s="160" t="str">
        <f>IF(C678="","",_xlfn.XLOOKUP(D678,Legend!$A$29:$A$118,Legend!$B$29:$B$118,"NOT FOUND",0,1))</f>
        <v/>
      </c>
      <c r="G678" s="268" t="str">
        <f>IF(C678="","",_xlfn.XLOOKUP(D678,Legend!$A$29:$A$118,Legend!$C$29:$C$118,"NOT FOUND",0,1))</f>
        <v/>
      </c>
    </row>
    <row r="679" spans="1:7" x14ac:dyDescent="0.2">
      <c r="A679" s="3">
        <v>1</v>
      </c>
      <c r="C679" s="3" t="str">
        <f>IF(B679="","",IF(ISNUMBER(VALUE(_xlfn.TEXTBEFORE(B679," "))),_xlfn.XLOOKUP(VALUE(_xlfn.TEXTBEFORE(B679," ")),Legend!$B$11:$B$26,Legend!$A$11:$A$26,"NOT FOUND",0,1),_xlfn.TEXTBEFORE(B679," ")))</f>
        <v/>
      </c>
      <c r="D679" s="3" t="str">
        <f t="shared" si="12"/>
        <v/>
      </c>
      <c r="E679" s="159" t="str">
        <f>IF(C679="","",_xlfn.XLOOKUP(C679,Legend!$A$10:$A$26,Legend!$C$10:$C$26,"NOT FOUND",0,1))</f>
        <v/>
      </c>
      <c r="F679" s="160" t="str">
        <f>IF(C679="","",_xlfn.XLOOKUP(D679,Legend!$A$29:$A$118,Legend!$B$29:$B$118,"NOT FOUND",0,1))</f>
        <v/>
      </c>
      <c r="G679" s="268" t="str">
        <f>IF(C679="","",_xlfn.XLOOKUP(D679,Legend!$A$29:$A$118,Legend!$C$29:$C$118,"NOT FOUND",0,1))</f>
        <v/>
      </c>
    </row>
    <row r="680" spans="1:7" x14ac:dyDescent="0.2">
      <c r="A680" s="3">
        <v>1</v>
      </c>
      <c r="C680" s="3" t="str">
        <f>IF(B680="","",IF(ISNUMBER(VALUE(_xlfn.TEXTBEFORE(B680," "))),_xlfn.XLOOKUP(VALUE(_xlfn.TEXTBEFORE(B680," ")),Legend!$B$11:$B$26,Legend!$A$11:$A$26,"NOT FOUND",0,1),_xlfn.TEXTBEFORE(B680," ")))</f>
        <v/>
      </c>
      <c r="D680" s="3" t="str">
        <f t="shared" si="12"/>
        <v/>
      </c>
      <c r="E680" s="159" t="str">
        <f>IF(C680="","",_xlfn.XLOOKUP(C680,Legend!$A$10:$A$26,Legend!$C$10:$C$26,"NOT FOUND",0,1))</f>
        <v/>
      </c>
      <c r="F680" s="160" t="str">
        <f>IF(C680="","",_xlfn.XLOOKUP(D680,Legend!$A$29:$A$118,Legend!$B$29:$B$118,"NOT FOUND",0,1))</f>
        <v/>
      </c>
      <c r="G680" s="268" t="str">
        <f>IF(C680="","",_xlfn.XLOOKUP(D680,Legend!$A$29:$A$118,Legend!$C$29:$C$118,"NOT FOUND",0,1))</f>
        <v/>
      </c>
    </row>
    <row r="681" spans="1:7" x14ac:dyDescent="0.2">
      <c r="A681" s="3">
        <v>1</v>
      </c>
      <c r="C681" s="3" t="str">
        <f>IF(B681="","",IF(ISNUMBER(VALUE(_xlfn.TEXTBEFORE(B681," "))),_xlfn.XLOOKUP(VALUE(_xlfn.TEXTBEFORE(B681," ")),Legend!$B$11:$B$26,Legend!$A$11:$A$26,"NOT FOUND",0,1),_xlfn.TEXTBEFORE(B681," ")))</f>
        <v/>
      </c>
      <c r="D681" s="3" t="str">
        <f t="shared" si="12"/>
        <v/>
      </c>
      <c r="E681" s="159" t="str">
        <f>IF(C681="","",_xlfn.XLOOKUP(C681,Legend!$A$10:$A$26,Legend!$C$10:$C$26,"NOT FOUND",0,1))</f>
        <v/>
      </c>
      <c r="F681" s="160" t="str">
        <f>IF(C681="","",_xlfn.XLOOKUP(D681,Legend!$A$29:$A$118,Legend!$B$29:$B$118,"NOT FOUND",0,1))</f>
        <v/>
      </c>
      <c r="G681" s="268" t="str">
        <f>IF(C681="","",_xlfn.XLOOKUP(D681,Legend!$A$29:$A$118,Legend!$C$29:$C$118,"NOT FOUND",0,1))</f>
        <v/>
      </c>
    </row>
    <row r="682" spans="1:7" x14ac:dyDescent="0.2">
      <c r="A682" s="3">
        <v>1</v>
      </c>
      <c r="C682" s="3" t="str">
        <f>IF(B682="","",IF(ISNUMBER(VALUE(_xlfn.TEXTBEFORE(B682," "))),_xlfn.XLOOKUP(VALUE(_xlfn.TEXTBEFORE(B682," ")),Legend!$B$11:$B$26,Legend!$A$11:$A$26,"NOT FOUND",0,1),_xlfn.TEXTBEFORE(B682," ")))</f>
        <v/>
      </c>
      <c r="D682" s="3" t="str">
        <f t="shared" si="12"/>
        <v/>
      </c>
      <c r="E682" s="159" t="str">
        <f>IF(C682="","",_xlfn.XLOOKUP(C682,Legend!$A$10:$A$26,Legend!$C$10:$C$26,"NOT FOUND",0,1))</f>
        <v/>
      </c>
      <c r="F682" s="160" t="str">
        <f>IF(C682="","",_xlfn.XLOOKUP(D682,Legend!$A$29:$A$118,Legend!$B$29:$B$118,"NOT FOUND",0,1))</f>
        <v/>
      </c>
      <c r="G682" s="268" t="str">
        <f>IF(C682="","",_xlfn.XLOOKUP(D682,Legend!$A$29:$A$118,Legend!$C$29:$C$118,"NOT FOUND",0,1))</f>
        <v/>
      </c>
    </row>
    <row r="683" spans="1:7" x14ac:dyDescent="0.2">
      <c r="A683" s="3">
        <v>1</v>
      </c>
      <c r="C683" s="3" t="str">
        <f>IF(B683="","",IF(ISNUMBER(VALUE(_xlfn.TEXTBEFORE(B683," "))),_xlfn.XLOOKUP(VALUE(_xlfn.TEXTBEFORE(B683," ")),Legend!$B$11:$B$26,Legend!$A$11:$A$26,"NOT FOUND",0,1),_xlfn.TEXTBEFORE(B683," ")))</f>
        <v/>
      </c>
      <c r="D683" s="3" t="str">
        <f t="shared" si="12"/>
        <v/>
      </c>
      <c r="E683" s="159" t="str">
        <f>IF(C683="","",_xlfn.XLOOKUP(C683,Legend!$A$10:$A$26,Legend!$C$10:$C$26,"NOT FOUND",0,1))</f>
        <v/>
      </c>
      <c r="F683" s="160" t="str">
        <f>IF(C683="","",_xlfn.XLOOKUP(D683,Legend!$A$29:$A$118,Legend!$B$29:$B$118,"NOT FOUND",0,1))</f>
        <v/>
      </c>
      <c r="G683" s="268" t="str">
        <f>IF(C683="","",_xlfn.XLOOKUP(D683,Legend!$A$29:$A$118,Legend!$C$29:$C$118,"NOT FOUND",0,1))</f>
        <v/>
      </c>
    </row>
    <row r="684" spans="1:7" x14ac:dyDescent="0.2">
      <c r="A684" s="3">
        <v>1</v>
      </c>
      <c r="C684" s="3" t="str">
        <f>IF(B684="","",IF(ISNUMBER(VALUE(_xlfn.TEXTBEFORE(B684," "))),_xlfn.XLOOKUP(VALUE(_xlfn.TEXTBEFORE(B684," ")),Legend!$B$11:$B$26,Legend!$A$11:$A$26,"NOT FOUND",0,1),_xlfn.TEXTBEFORE(B684," ")))</f>
        <v/>
      </c>
      <c r="D684" s="3" t="str">
        <f t="shared" si="12"/>
        <v/>
      </c>
      <c r="E684" s="159" t="str">
        <f>IF(C684="","",_xlfn.XLOOKUP(C684,Legend!$A$10:$A$26,Legend!$C$10:$C$26,"NOT FOUND",0,1))</f>
        <v/>
      </c>
      <c r="F684" s="160" t="str">
        <f>IF(C684="","",_xlfn.XLOOKUP(D684,Legend!$A$29:$A$118,Legend!$B$29:$B$118,"NOT FOUND",0,1))</f>
        <v/>
      </c>
      <c r="G684" s="268" t="str">
        <f>IF(C684="","",_xlfn.XLOOKUP(D684,Legend!$A$29:$A$118,Legend!$C$29:$C$118,"NOT FOUND",0,1))</f>
        <v/>
      </c>
    </row>
    <row r="685" spans="1:7" x14ac:dyDescent="0.2">
      <c r="A685" s="3">
        <v>1</v>
      </c>
      <c r="C685" s="3" t="str">
        <f>IF(B685="","",IF(ISNUMBER(VALUE(_xlfn.TEXTBEFORE(B685," "))),_xlfn.XLOOKUP(VALUE(_xlfn.TEXTBEFORE(B685," ")),Legend!$B$11:$B$26,Legend!$A$11:$A$26,"NOT FOUND",0,1),_xlfn.TEXTBEFORE(B685," ")))</f>
        <v/>
      </c>
      <c r="D685" s="3" t="str">
        <f t="shared" si="12"/>
        <v/>
      </c>
      <c r="E685" s="159" t="str">
        <f>IF(C685="","",_xlfn.XLOOKUP(C685,Legend!$A$10:$A$26,Legend!$C$10:$C$26,"NOT FOUND",0,1))</f>
        <v/>
      </c>
      <c r="F685" s="160" t="str">
        <f>IF(C685="","",_xlfn.XLOOKUP(D685,Legend!$A$29:$A$118,Legend!$B$29:$B$118,"NOT FOUND",0,1))</f>
        <v/>
      </c>
      <c r="G685" s="268" t="str">
        <f>IF(C685="","",_xlfn.XLOOKUP(D685,Legend!$A$29:$A$118,Legend!$C$29:$C$118,"NOT FOUND",0,1))</f>
        <v/>
      </c>
    </row>
    <row r="686" spans="1:7" x14ac:dyDescent="0.2">
      <c r="A686" s="3">
        <v>1</v>
      </c>
      <c r="C686" s="3" t="str">
        <f>IF(B686="","",IF(ISNUMBER(VALUE(_xlfn.TEXTBEFORE(B686," "))),_xlfn.XLOOKUP(VALUE(_xlfn.TEXTBEFORE(B686," ")),Legend!$B$11:$B$26,Legend!$A$11:$A$26,"NOT FOUND",0,1),_xlfn.TEXTBEFORE(B686," ")))</f>
        <v/>
      </c>
      <c r="D686" s="3" t="str">
        <f t="shared" si="12"/>
        <v/>
      </c>
      <c r="E686" s="159" t="str">
        <f>IF(C686="","",_xlfn.XLOOKUP(C686,Legend!$A$10:$A$26,Legend!$C$10:$C$26,"NOT FOUND",0,1))</f>
        <v/>
      </c>
      <c r="F686" s="160" t="str">
        <f>IF(C686="","",_xlfn.XLOOKUP(D686,Legend!$A$29:$A$118,Legend!$B$29:$B$118,"NOT FOUND",0,1))</f>
        <v/>
      </c>
      <c r="G686" s="268" t="str">
        <f>IF(C686="","",_xlfn.XLOOKUP(D686,Legend!$A$29:$A$118,Legend!$C$29:$C$118,"NOT FOUND",0,1))</f>
        <v/>
      </c>
    </row>
    <row r="687" spans="1:7" x14ac:dyDescent="0.2">
      <c r="A687" s="3">
        <v>1</v>
      </c>
      <c r="C687" s="3" t="str">
        <f>IF(B687="","",IF(ISNUMBER(VALUE(_xlfn.TEXTBEFORE(B687," "))),_xlfn.XLOOKUP(VALUE(_xlfn.TEXTBEFORE(B687," ")),Legend!$B$11:$B$26,Legend!$A$11:$A$26,"NOT FOUND",0,1),_xlfn.TEXTBEFORE(B687," ")))</f>
        <v/>
      </c>
      <c r="D687" s="3" t="str">
        <f t="shared" si="12"/>
        <v/>
      </c>
      <c r="E687" s="159" t="str">
        <f>IF(C687="","",_xlfn.XLOOKUP(C687,Legend!$A$10:$A$26,Legend!$C$10:$C$26,"NOT FOUND",0,1))</f>
        <v/>
      </c>
      <c r="F687" s="160" t="str">
        <f>IF(C687="","",_xlfn.XLOOKUP(D687,Legend!$A$29:$A$118,Legend!$B$29:$B$118,"NOT FOUND",0,1))</f>
        <v/>
      </c>
      <c r="G687" s="268" t="str">
        <f>IF(C687="","",_xlfn.XLOOKUP(D687,Legend!$A$29:$A$118,Legend!$C$29:$C$118,"NOT FOUND",0,1))</f>
        <v/>
      </c>
    </row>
    <row r="688" spans="1:7" x14ac:dyDescent="0.2">
      <c r="A688" s="3">
        <v>1</v>
      </c>
      <c r="C688" s="3" t="str">
        <f>IF(B688="","",IF(ISNUMBER(VALUE(_xlfn.TEXTBEFORE(B688," "))),_xlfn.XLOOKUP(VALUE(_xlfn.TEXTBEFORE(B688," ")),Legend!$B$11:$B$26,Legend!$A$11:$A$26,"NOT FOUND",0,1),_xlfn.TEXTBEFORE(B688," ")))</f>
        <v/>
      </c>
      <c r="D688" s="3" t="str">
        <f t="shared" si="12"/>
        <v/>
      </c>
      <c r="E688" s="159" t="str">
        <f>IF(C688="","",_xlfn.XLOOKUP(C688,Legend!$A$10:$A$26,Legend!$C$10:$C$26,"NOT FOUND",0,1))</f>
        <v/>
      </c>
      <c r="F688" s="160" t="str">
        <f>IF(C688="","",_xlfn.XLOOKUP(D688,Legend!$A$29:$A$118,Legend!$B$29:$B$118,"NOT FOUND",0,1))</f>
        <v/>
      </c>
      <c r="G688" s="268" t="str">
        <f>IF(C688="","",_xlfn.XLOOKUP(D688,Legend!$A$29:$A$118,Legend!$C$29:$C$118,"NOT FOUND",0,1))</f>
        <v/>
      </c>
    </row>
    <row r="689" spans="1:7" x14ac:dyDescent="0.2">
      <c r="A689" s="3">
        <v>1</v>
      </c>
      <c r="C689" s="3" t="str">
        <f>IF(B689="","",IF(ISNUMBER(VALUE(_xlfn.TEXTBEFORE(B689," "))),_xlfn.XLOOKUP(VALUE(_xlfn.TEXTBEFORE(B689," ")),Legend!$B$11:$B$26,Legend!$A$11:$A$26,"NOT FOUND",0,1),_xlfn.TEXTBEFORE(B689," ")))</f>
        <v/>
      </c>
      <c r="D689" s="3" t="str">
        <f t="shared" si="12"/>
        <v/>
      </c>
      <c r="E689" s="159" t="str">
        <f>IF(C689="","",_xlfn.XLOOKUP(C689,Legend!$A$10:$A$26,Legend!$C$10:$C$26,"NOT FOUND",0,1))</f>
        <v/>
      </c>
      <c r="F689" s="160" t="str">
        <f>IF(C689="","",_xlfn.XLOOKUP(D689,Legend!$A$29:$A$118,Legend!$B$29:$B$118,"NOT FOUND",0,1))</f>
        <v/>
      </c>
      <c r="G689" s="268" t="str">
        <f>IF(C689="","",_xlfn.XLOOKUP(D689,Legend!$A$29:$A$118,Legend!$C$29:$C$118,"NOT FOUND",0,1))</f>
        <v/>
      </c>
    </row>
    <row r="690" spans="1:7" x14ac:dyDescent="0.2">
      <c r="A690" s="3">
        <v>1</v>
      </c>
      <c r="C690" s="3" t="str">
        <f>IF(B690="","",IF(ISNUMBER(VALUE(_xlfn.TEXTBEFORE(B690," "))),_xlfn.XLOOKUP(VALUE(_xlfn.TEXTBEFORE(B690," ")),Legend!$B$11:$B$26,Legend!$A$11:$A$26,"NOT FOUND",0,1),_xlfn.TEXTBEFORE(B690," ")))</f>
        <v/>
      </c>
      <c r="D690" s="3" t="str">
        <f t="shared" si="12"/>
        <v/>
      </c>
      <c r="E690" s="159" t="str">
        <f>IF(C690="","",_xlfn.XLOOKUP(C690,Legend!$A$10:$A$26,Legend!$C$10:$C$26,"NOT FOUND",0,1))</f>
        <v/>
      </c>
      <c r="F690" s="160" t="str">
        <f>IF(C690="","",_xlfn.XLOOKUP(D690,Legend!$A$29:$A$118,Legend!$B$29:$B$118,"NOT FOUND",0,1))</f>
        <v/>
      </c>
      <c r="G690" s="268" t="str">
        <f>IF(C690="","",_xlfn.XLOOKUP(D690,Legend!$A$29:$A$118,Legend!$C$29:$C$118,"NOT FOUND",0,1))</f>
        <v/>
      </c>
    </row>
    <row r="691" spans="1:7" x14ac:dyDescent="0.2">
      <c r="A691" s="3">
        <v>1</v>
      </c>
      <c r="C691" s="3" t="str">
        <f>IF(B691="","",IF(ISNUMBER(VALUE(_xlfn.TEXTBEFORE(B691," "))),_xlfn.XLOOKUP(VALUE(_xlfn.TEXTBEFORE(B691," ")),Legend!$B$11:$B$26,Legend!$A$11:$A$26,"NOT FOUND",0,1),_xlfn.TEXTBEFORE(B691," ")))</f>
        <v/>
      </c>
      <c r="D691" s="3" t="str">
        <f t="shared" si="12"/>
        <v/>
      </c>
      <c r="E691" s="159" t="str">
        <f>IF(C691="","",_xlfn.XLOOKUP(C691,Legend!$A$10:$A$26,Legend!$C$10:$C$26,"NOT FOUND",0,1))</f>
        <v/>
      </c>
      <c r="F691" s="160" t="str">
        <f>IF(C691="","",_xlfn.XLOOKUP(D691,Legend!$A$29:$A$118,Legend!$B$29:$B$118,"NOT FOUND",0,1))</f>
        <v/>
      </c>
      <c r="G691" s="268" t="str">
        <f>IF(C691="","",_xlfn.XLOOKUP(D691,Legend!$A$29:$A$118,Legend!$C$29:$C$118,"NOT FOUND",0,1))</f>
        <v/>
      </c>
    </row>
    <row r="692" spans="1:7" x14ac:dyDescent="0.2">
      <c r="A692" s="3">
        <v>1</v>
      </c>
      <c r="C692" s="3" t="str">
        <f>IF(B692="","",IF(ISNUMBER(VALUE(_xlfn.TEXTBEFORE(B692," "))),_xlfn.XLOOKUP(VALUE(_xlfn.TEXTBEFORE(B692," ")),Legend!$B$11:$B$26,Legend!$A$11:$A$26,"NOT FOUND",0,1),_xlfn.TEXTBEFORE(B692," ")))</f>
        <v/>
      </c>
      <c r="D692" s="3" t="str">
        <f t="shared" si="12"/>
        <v/>
      </c>
      <c r="E692" s="159" t="str">
        <f>IF(C692="","",_xlfn.XLOOKUP(C692,Legend!$A$10:$A$26,Legend!$C$10:$C$26,"NOT FOUND",0,1))</f>
        <v/>
      </c>
      <c r="F692" s="160" t="str">
        <f>IF(C692="","",_xlfn.XLOOKUP(D692,Legend!$A$29:$A$118,Legend!$B$29:$B$118,"NOT FOUND",0,1))</f>
        <v/>
      </c>
      <c r="G692" s="268" t="str">
        <f>IF(C692="","",_xlfn.XLOOKUP(D692,Legend!$A$29:$A$118,Legend!$C$29:$C$118,"NOT FOUND",0,1))</f>
        <v/>
      </c>
    </row>
    <row r="693" spans="1:7" x14ac:dyDescent="0.2">
      <c r="A693" s="3">
        <v>1</v>
      </c>
      <c r="C693" s="3" t="str">
        <f>IF(B693="","",IF(ISNUMBER(VALUE(_xlfn.TEXTBEFORE(B693," "))),_xlfn.XLOOKUP(VALUE(_xlfn.TEXTBEFORE(B693," ")),Legend!$B$11:$B$26,Legend!$A$11:$A$26,"NOT FOUND",0,1),_xlfn.TEXTBEFORE(B693," ")))</f>
        <v/>
      </c>
      <c r="D693" s="3" t="str">
        <f t="shared" si="12"/>
        <v/>
      </c>
      <c r="E693" s="159" t="str">
        <f>IF(C693="","",_xlfn.XLOOKUP(C693,Legend!$A$10:$A$26,Legend!$C$10:$C$26,"NOT FOUND",0,1))</f>
        <v/>
      </c>
      <c r="F693" s="160" t="str">
        <f>IF(C693="","",_xlfn.XLOOKUP(D693,Legend!$A$29:$A$118,Legend!$B$29:$B$118,"NOT FOUND",0,1))</f>
        <v/>
      </c>
      <c r="G693" s="268" t="str">
        <f>IF(C693="","",_xlfn.XLOOKUP(D693,Legend!$A$29:$A$118,Legend!$C$29:$C$118,"NOT FOUND",0,1))</f>
        <v/>
      </c>
    </row>
    <row r="694" spans="1:7" x14ac:dyDescent="0.2">
      <c r="A694" s="3">
        <v>1</v>
      </c>
      <c r="C694" s="3" t="str">
        <f>IF(B694="","",IF(ISNUMBER(VALUE(_xlfn.TEXTBEFORE(B694," "))),_xlfn.XLOOKUP(VALUE(_xlfn.TEXTBEFORE(B694," ")),Legend!$B$11:$B$26,Legend!$A$11:$A$26,"NOT FOUND",0,1),_xlfn.TEXTBEFORE(B694," ")))</f>
        <v/>
      </c>
      <c r="D694" s="3" t="str">
        <f t="shared" si="12"/>
        <v/>
      </c>
      <c r="E694" s="159" t="str">
        <f>IF(C694="","",_xlfn.XLOOKUP(C694,Legend!$A$10:$A$26,Legend!$C$10:$C$26,"NOT FOUND",0,1))</f>
        <v/>
      </c>
      <c r="F694" s="160" t="str">
        <f>IF(C694="","",_xlfn.XLOOKUP(D694,Legend!$A$29:$A$118,Legend!$B$29:$B$118,"NOT FOUND",0,1))</f>
        <v/>
      </c>
      <c r="G694" s="268" t="str">
        <f>IF(C694="","",_xlfn.XLOOKUP(D694,Legend!$A$29:$A$118,Legend!$C$29:$C$118,"NOT FOUND",0,1))</f>
        <v/>
      </c>
    </row>
    <row r="695" spans="1:7" x14ac:dyDescent="0.2">
      <c r="A695" s="3">
        <v>1</v>
      </c>
      <c r="C695" s="3" t="str">
        <f>IF(B695="","",IF(ISNUMBER(VALUE(_xlfn.TEXTBEFORE(B695," "))),_xlfn.XLOOKUP(VALUE(_xlfn.TEXTBEFORE(B695," ")),Legend!$B$11:$B$26,Legend!$A$11:$A$26,"NOT FOUND",0,1),_xlfn.TEXTBEFORE(B695," ")))</f>
        <v/>
      </c>
      <c r="D695" s="3" t="str">
        <f t="shared" si="12"/>
        <v/>
      </c>
      <c r="E695" s="159" t="str">
        <f>IF(C695="","",_xlfn.XLOOKUP(C695,Legend!$A$10:$A$26,Legend!$C$10:$C$26,"NOT FOUND",0,1))</f>
        <v/>
      </c>
      <c r="F695" s="160" t="str">
        <f>IF(C695="","",_xlfn.XLOOKUP(D695,Legend!$A$29:$A$118,Legend!$B$29:$B$118,"NOT FOUND",0,1))</f>
        <v/>
      </c>
      <c r="G695" s="268" t="str">
        <f>IF(C695="","",_xlfn.XLOOKUP(D695,Legend!$A$29:$A$118,Legend!$C$29:$C$118,"NOT FOUND",0,1))</f>
        <v/>
      </c>
    </row>
    <row r="696" spans="1:7" x14ac:dyDescent="0.2">
      <c r="A696" s="3">
        <v>1</v>
      </c>
      <c r="C696" s="3" t="str">
        <f>IF(B696="","",IF(ISNUMBER(VALUE(_xlfn.TEXTBEFORE(B696," "))),_xlfn.XLOOKUP(VALUE(_xlfn.TEXTBEFORE(B696," ")),Legend!$B$11:$B$26,Legend!$A$11:$A$26,"NOT FOUND",0,1),_xlfn.TEXTBEFORE(B696," ")))</f>
        <v/>
      </c>
      <c r="D696" s="3" t="str">
        <f t="shared" si="12"/>
        <v/>
      </c>
      <c r="E696" s="159" t="str">
        <f>IF(C696="","",_xlfn.XLOOKUP(C696,Legend!$A$10:$A$26,Legend!$C$10:$C$26,"NOT FOUND",0,1))</f>
        <v/>
      </c>
      <c r="F696" s="160" t="str">
        <f>IF(C696="","",_xlfn.XLOOKUP(D696,Legend!$A$29:$A$118,Legend!$B$29:$B$118,"NOT FOUND",0,1))</f>
        <v/>
      </c>
      <c r="G696" s="268" t="str">
        <f>IF(C696="","",_xlfn.XLOOKUP(D696,Legend!$A$29:$A$118,Legend!$C$29:$C$118,"NOT FOUND",0,1))</f>
        <v/>
      </c>
    </row>
    <row r="697" spans="1:7" x14ac:dyDescent="0.2">
      <c r="A697" s="3">
        <v>1</v>
      </c>
      <c r="C697" s="3" t="str">
        <f>IF(B697="","",IF(ISNUMBER(VALUE(_xlfn.TEXTBEFORE(B697," "))),_xlfn.XLOOKUP(VALUE(_xlfn.TEXTBEFORE(B697," ")),Legend!$B$11:$B$26,Legend!$A$11:$A$26,"NOT FOUND",0,1),_xlfn.TEXTBEFORE(B697," ")))</f>
        <v/>
      </c>
      <c r="D697" s="3" t="str">
        <f t="shared" si="12"/>
        <v/>
      </c>
      <c r="E697" s="159" t="str">
        <f>IF(C697="","",_xlfn.XLOOKUP(C697,Legend!$A$10:$A$26,Legend!$C$10:$C$26,"NOT FOUND",0,1))</f>
        <v/>
      </c>
      <c r="F697" s="160" t="str">
        <f>IF(C697="","",_xlfn.XLOOKUP(D697,Legend!$A$29:$A$118,Legend!$B$29:$B$118,"NOT FOUND",0,1))</f>
        <v/>
      </c>
      <c r="G697" s="268" t="str">
        <f>IF(C697="","",_xlfn.XLOOKUP(D697,Legend!$A$29:$A$118,Legend!$C$29:$C$118,"NOT FOUND",0,1))</f>
        <v/>
      </c>
    </row>
    <row r="698" spans="1:7" x14ac:dyDescent="0.2">
      <c r="A698" s="3">
        <v>1</v>
      </c>
      <c r="C698" s="3" t="str">
        <f>IF(B698="","",IF(ISNUMBER(VALUE(_xlfn.TEXTBEFORE(B698," "))),_xlfn.XLOOKUP(VALUE(_xlfn.TEXTBEFORE(B698," ")),Legend!$B$11:$B$26,Legend!$A$11:$A$26,"NOT FOUND",0,1),_xlfn.TEXTBEFORE(B698," ")))</f>
        <v/>
      </c>
      <c r="D698" s="3" t="str">
        <f t="shared" si="12"/>
        <v/>
      </c>
      <c r="E698" s="159" t="str">
        <f>IF(C698="","",_xlfn.XLOOKUP(C698,Legend!$A$10:$A$26,Legend!$C$10:$C$26,"NOT FOUND",0,1))</f>
        <v/>
      </c>
      <c r="F698" s="160" t="str">
        <f>IF(C698="","",_xlfn.XLOOKUP(D698,Legend!$A$29:$A$118,Legend!$B$29:$B$118,"NOT FOUND",0,1))</f>
        <v/>
      </c>
      <c r="G698" s="268" t="str">
        <f>IF(C698="","",_xlfn.XLOOKUP(D698,Legend!$A$29:$A$118,Legend!$C$29:$C$118,"NOT FOUND",0,1))</f>
        <v/>
      </c>
    </row>
    <row r="699" spans="1:7" x14ac:dyDescent="0.2">
      <c r="A699" s="3">
        <v>1</v>
      </c>
      <c r="C699" s="3" t="str">
        <f>IF(B699="","",IF(ISNUMBER(VALUE(_xlfn.TEXTBEFORE(B699," "))),_xlfn.XLOOKUP(VALUE(_xlfn.TEXTBEFORE(B699," ")),Legend!$B$11:$B$26,Legend!$A$11:$A$26,"NOT FOUND",0,1),_xlfn.TEXTBEFORE(B699," ")))</f>
        <v/>
      </c>
      <c r="D699" s="3" t="str">
        <f t="shared" si="12"/>
        <v/>
      </c>
      <c r="E699" s="159" t="str">
        <f>IF(C699="","",_xlfn.XLOOKUP(C699,Legend!$A$10:$A$26,Legend!$C$10:$C$26,"NOT FOUND",0,1))</f>
        <v/>
      </c>
      <c r="F699" s="160" t="str">
        <f>IF(C699="","",_xlfn.XLOOKUP(D699,Legend!$A$29:$A$118,Legend!$B$29:$B$118,"NOT FOUND",0,1))</f>
        <v/>
      </c>
      <c r="G699" s="268" t="str">
        <f>IF(C699="","",_xlfn.XLOOKUP(D699,Legend!$A$29:$A$118,Legend!$C$29:$C$118,"NOT FOUND",0,1))</f>
        <v/>
      </c>
    </row>
    <row r="700" spans="1:7" x14ac:dyDescent="0.2">
      <c r="A700" s="3">
        <v>1</v>
      </c>
      <c r="C700" s="3" t="str">
        <f>IF(B700="","",IF(ISNUMBER(VALUE(_xlfn.TEXTBEFORE(B700," "))),_xlfn.XLOOKUP(VALUE(_xlfn.TEXTBEFORE(B700," ")),Legend!$B$11:$B$26,Legend!$A$11:$A$26,"NOT FOUND",0,1),_xlfn.TEXTBEFORE(B700," ")))</f>
        <v/>
      </c>
      <c r="D700" s="3" t="str">
        <f t="shared" si="12"/>
        <v/>
      </c>
      <c r="E700" s="159" t="str">
        <f>IF(C700="","",_xlfn.XLOOKUP(C700,Legend!$A$10:$A$26,Legend!$C$10:$C$26,"NOT FOUND",0,1))</f>
        <v/>
      </c>
      <c r="F700" s="160" t="str">
        <f>IF(C700="","",_xlfn.XLOOKUP(D700,Legend!$A$29:$A$118,Legend!$B$29:$B$118,"NOT FOUND",0,1))</f>
        <v/>
      </c>
      <c r="G700" s="268" t="str">
        <f>IF(C700="","",_xlfn.XLOOKUP(D700,Legend!$A$29:$A$118,Legend!$C$29:$C$118,"NOT FOUND",0,1))</f>
        <v/>
      </c>
    </row>
    <row r="701" spans="1:7" x14ac:dyDescent="0.2">
      <c r="A701" s="3">
        <v>1</v>
      </c>
      <c r="C701" s="3" t="str">
        <f>IF(B701="","",IF(ISNUMBER(VALUE(_xlfn.TEXTBEFORE(B701," "))),_xlfn.XLOOKUP(VALUE(_xlfn.TEXTBEFORE(B701," ")),Legend!$B$11:$B$26,Legend!$A$11:$A$26,"NOT FOUND",0,1),_xlfn.TEXTBEFORE(B701," ")))</f>
        <v/>
      </c>
      <c r="D701" s="3" t="str">
        <f t="shared" si="12"/>
        <v/>
      </c>
      <c r="E701" s="159" t="str">
        <f>IF(C701="","",_xlfn.XLOOKUP(C701,Legend!$A$10:$A$26,Legend!$C$10:$C$26,"NOT FOUND",0,1))</f>
        <v/>
      </c>
      <c r="F701" s="160" t="str">
        <f>IF(C701="","",_xlfn.XLOOKUP(D701,Legend!$A$29:$A$118,Legend!$B$29:$B$118,"NOT FOUND",0,1))</f>
        <v/>
      </c>
      <c r="G701" s="268" t="str">
        <f>IF(C701="","",_xlfn.XLOOKUP(D701,Legend!$A$29:$A$118,Legend!$C$29:$C$118,"NOT FOUND",0,1))</f>
        <v/>
      </c>
    </row>
    <row r="702" spans="1:7" x14ac:dyDescent="0.2">
      <c r="A702" s="3">
        <v>1</v>
      </c>
      <c r="C702" s="3" t="str">
        <f>IF(B702="","",IF(ISNUMBER(VALUE(_xlfn.TEXTBEFORE(B702," "))),_xlfn.XLOOKUP(VALUE(_xlfn.TEXTBEFORE(B702," ")),Legend!$B$11:$B$26,Legend!$A$11:$A$26,"NOT FOUND",0,1),_xlfn.TEXTBEFORE(B702," ")))</f>
        <v/>
      </c>
      <c r="D702" s="3" t="str">
        <f t="shared" si="12"/>
        <v/>
      </c>
      <c r="E702" s="159" t="str">
        <f>IF(C702="","",_xlfn.XLOOKUP(C702,Legend!$A$10:$A$26,Legend!$C$10:$C$26,"NOT FOUND",0,1))</f>
        <v/>
      </c>
      <c r="F702" s="160" t="str">
        <f>IF(C702="","",_xlfn.XLOOKUP(D702,Legend!$A$29:$A$118,Legend!$B$29:$B$118,"NOT FOUND",0,1))</f>
        <v/>
      </c>
      <c r="G702" s="268" t="str">
        <f>IF(C702="","",_xlfn.XLOOKUP(D702,Legend!$A$29:$A$118,Legend!$C$29:$C$118,"NOT FOUND",0,1))</f>
        <v/>
      </c>
    </row>
    <row r="703" spans="1:7" x14ac:dyDescent="0.2">
      <c r="A703" s="3">
        <v>1</v>
      </c>
      <c r="C703" s="3" t="str">
        <f>IF(B703="","",IF(ISNUMBER(VALUE(_xlfn.TEXTBEFORE(B703," "))),_xlfn.XLOOKUP(VALUE(_xlfn.TEXTBEFORE(B703," ")),Legend!$B$11:$B$26,Legend!$A$11:$A$26,"NOT FOUND",0,1),_xlfn.TEXTBEFORE(B703," ")))</f>
        <v/>
      </c>
      <c r="D703" s="3" t="str">
        <f t="shared" si="12"/>
        <v/>
      </c>
      <c r="E703" s="159" t="str">
        <f>IF(C703="","",_xlfn.XLOOKUP(C703,Legend!$A$10:$A$26,Legend!$C$10:$C$26,"NOT FOUND",0,1))</f>
        <v/>
      </c>
      <c r="F703" s="160" t="str">
        <f>IF(C703="","",_xlfn.XLOOKUP(D703,Legend!$A$29:$A$118,Legend!$B$29:$B$118,"NOT FOUND",0,1))</f>
        <v/>
      </c>
      <c r="G703" s="268" t="str">
        <f>IF(C703="","",_xlfn.XLOOKUP(D703,Legend!$A$29:$A$118,Legend!$C$29:$C$118,"NOT FOUND",0,1))</f>
        <v/>
      </c>
    </row>
    <row r="704" spans="1:7" x14ac:dyDescent="0.2">
      <c r="A704" s="3">
        <v>1</v>
      </c>
      <c r="C704" s="3" t="str">
        <f>IF(B704="","",IF(ISNUMBER(VALUE(_xlfn.TEXTBEFORE(B704," "))),_xlfn.XLOOKUP(VALUE(_xlfn.TEXTBEFORE(B704," ")),Legend!$B$11:$B$26,Legend!$A$11:$A$26,"NOT FOUND",0,1),_xlfn.TEXTBEFORE(B704," ")))</f>
        <v/>
      </c>
      <c r="D704" s="3" t="str">
        <f t="shared" si="12"/>
        <v/>
      </c>
      <c r="E704" s="159" t="str">
        <f>IF(C704="","",_xlfn.XLOOKUP(C704,Legend!$A$10:$A$26,Legend!$C$10:$C$26,"NOT FOUND",0,1))</f>
        <v/>
      </c>
      <c r="F704" s="160" t="str">
        <f>IF(C704="","",_xlfn.XLOOKUP(D704,Legend!$A$29:$A$118,Legend!$B$29:$B$118,"NOT FOUND",0,1))</f>
        <v/>
      </c>
      <c r="G704" s="268" t="str">
        <f>IF(C704="","",_xlfn.XLOOKUP(D704,Legend!$A$29:$A$118,Legend!$C$29:$C$118,"NOT FOUND",0,1))</f>
        <v/>
      </c>
    </row>
    <row r="705" spans="1:7" x14ac:dyDescent="0.2">
      <c r="A705" s="3">
        <v>1</v>
      </c>
      <c r="C705" s="3" t="str">
        <f>IF(B705="","",IF(ISNUMBER(VALUE(_xlfn.TEXTBEFORE(B705," "))),_xlfn.XLOOKUP(VALUE(_xlfn.TEXTBEFORE(B705," ")),Legend!$B$11:$B$26,Legend!$A$11:$A$26,"NOT FOUND",0,1),_xlfn.TEXTBEFORE(B705," ")))</f>
        <v/>
      </c>
      <c r="D705" s="3" t="str">
        <f t="shared" si="12"/>
        <v/>
      </c>
      <c r="E705" s="159" t="str">
        <f>IF(C705="","",_xlfn.XLOOKUP(C705,Legend!$A$10:$A$26,Legend!$C$10:$C$26,"NOT FOUND",0,1))</f>
        <v/>
      </c>
      <c r="F705" s="160" t="str">
        <f>IF(C705="","",_xlfn.XLOOKUP(D705,Legend!$A$29:$A$118,Legend!$B$29:$B$118,"NOT FOUND",0,1))</f>
        <v/>
      </c>
      <c r="G705" s="268" t="str">
        <f>IF(C705="","",_xlfn.XLOOKUP(D705,Legend!$A$29:$A$118,Legend!$C$29:$C$118,"NOT FOUND",0,1))</f>
        <v/>
      </c>
    </row>
    <row r="706" spans="1:7" x14ac:dyDescent="0.2">
      <c r="A706" s="3">
        <v>1</v>
      </c>
      <c r="C706" s="3" t="str">
        <f>IF(B706="","",IF(ISNUMBER(VALUE(_xlfn.TEXTBEFORE(B706," "))),_xlfn.XLOOKUP(VALUE(_xlfn.TEXTBEFORE(B706," ")),Legend!$B$11:$B$26,Legend!$A$11:$A$26,"NOT FOUND",0,1),_xlfn.TEXTBEFORE(B706," ")))</f>
        <v/>
      </c>
      <c r="D706" s="3" t="str">
        <f t="shared" si="12"/>
        <v/>
      </c>
      <c r="E706" s="159" t="str">
        <f>IF(C706="","",_xlfn.XLOOKUP(C706,Legend!$A$10:$A$26,Legend!$C$10:$C$26,"NOT FOUND",0,1))</f>
        <v/>
      </c>
      <c r="F706" s="160" t="str">
        <f>IF(C706="","",_xlfn.XLOOKUP(D706,Legend!$A$29:$A$118,Legend!$B$29:$B$118,"NOT FOUND",0,1))</f>
        <v/>
      </c>
      <c r="G706" s="268" t="str">
        <f>IF(C706="","",_xlfn.XLOOKUP(D706,Legend!$A$29:$A$118,Legend!$C$29:$C$118,"NOT FOUND",0,1))</f>
        <v/>
      </c>
    </row>
    <row r="707" spans="1:7" x14ac:dyDescent="0.2">
      <c r="A707" s="3">
        <v>1</v>
      </c>
      <c r="C707" s="3" t="str">
        <f>IF(B707="","",IF(ISNUMBER(VALUE(_xlfn.TEXTBEFORE(B707," "))),_xlfn.XLOOKUP(VALUE(_xlfn.TEXTBEFORE(B707," ")),Legend!$B$11:$B$26,Legend!$A$11:$A$26,"NOT FOUND",0,1),_xlfn.TEXTBEFORE(B707," ")))</f>
        <v/>
      </c>
      <c r="D707" s="3" t="str">
        <f t="shared" si="12"/>
        <v/>
      </c>
      <c r="E707" s="159" t="str">
        <f>IF(C707="","",_xlfn.XLOOKUP(C707,Legend!$A$10:$A$26,Legend!$C$10:$C$26,"NOT FOUND",0,1))</f>
        <v/>
      </c>
      <c r="F707" s="160" t="str">
        <f>IF(C707="","",_xlfn.XLOOKUP(D707,Legend!$A$29:$A$118,Legend!$B$29:$B$118,"NOT FOUND",0,1))</f>
        <v/>
      </c>
      <c r="G707" s="268" t="str">
        <f>IF(C707="","",_xlfn.XLOOKUP(D707,Legend!$A$29:$A$118,Legend!$C$29:$C$118,"NOT FOUND",0,1))</f>
        <v/>
      </c>
    </row>
    <row r="708" spans="1:7" x14ac:dyDescent="0.2">
      <c r="A708" s="3">
        <v>1</v>
      </c>
      <c r="C708" s="3" t="str">
        <f>IF(B708="","",IF(ISNUMBER(VALUE(_xlfn.TEXTBEFORE(B708," "))),_xlfn.XLOOKUP(VALUE(_xlfn.TEXTBEFORE(B708," ")),Legend!$B$11:$B$26,Legend!$A$11:$A$26,"NOT FOUND",0,1),_xlfn.TEXTBEFORE(B708," ")))</f>
        <v/>
      </c>
      <c r="D708" s="3" t="str">
        <f t="shared" si="12"/>
        <v/>
      </c>
      <c r="E708" s="159" t="str">
        <f>IF(C708="","",_xlfn.XLOOKUP(C708,Legend!$A$10:$A$26,Legend!$C$10:$C$26,"NOT FOUND",0,1))</f>
        <v/>
      </c>
      <c r="F708" s="160" t="str">
        <f>IF(C708="","",_xlfn.XLOOKUP(D708,Legend!$A$29:$A$118,Legend!$B$29:$B$118,"NOT FOUND",0,1))</f>
        <v/>
      </c>
      <c r="G708" s="268" t="str">
        <f>IF(C708="","",_xlfn.XLOOKUP(D708,Legend!$A$29:$A$118,Legend!$C$29:$C$118,"NOT FOUND",0,1))</f>
        <v/>
      </c>
    </row>
    <row r="709" spans="1:7" x14ac:dyDescent="0.2">
      <c r="A709" s="3">
        <v>1</v>
      </c>
      <c r="C709" s="3" t="str">
        <f>IF(B709="","",IF(ISNUMBER(VALUE(_xlfn.TEXTBEFORE(B709," "))),_xlfn.XLOOKUP(VALUE(_xlfn.TEXTBEFORE(B709," ")),Legend!$B$11:$B$26,Legend!$A$11:$A$26,"NOT FOUND",0,1),_xlfn.TEXTBEFORE(B709," ")))</f>
        <v/>
      </c>
      <c r="D709" s="3" t="str">
        <f t="shared" si="12"/>
        <v/>
      </c>
      <c r="E709" s="159" t="str">
        <f>IF(C709="","",_xlfn.XLOOKUP(C709,Legend!$A$10:$A$26,Legend!$C$10:$C$26,"NOT FOUND",0,1))</f>
        <v/>
      </c>
      <c r="F709" s="160" t="str">
        <f>IF(C709="","",_xlfn.XLOOKUP(D709,Legend!$A$29:$A$118,Legend!$B$29:$B$118,"NOT FOUND",0,1))</f>
        <v/>
      </c>
      <c r="G709" s="268" t="str">
        <f>IF(C709="","",_xlfn.XLOOKUP(D709,Legend!$A$29:$A$118,Legend!$C$29:$C$118,"NOT FOUND",0,1))</f>
        <v/>
      </c>
    </row>
    <row r="710" spans="1:7" x14ac:dyDescent="0.2">
      <c r="A710" s="3">
        <v>1</v>
      </c>
      <c r="C710" s="3" t="str">
        <f>IF(B710="","",IF(ISNUMBER(VALUE(_xlfn.TEXTBEFORE(B710," "))),_xlfn.XLOOKUP(VALUE(_xlfn.TEXTBEFORE(B710," ")),Legend!$B$11:$B$26,Legend!$A$11:$A$26,"NOT FOUND",0,1),_xlfn.TEXTBEFORE(B710," ")))</f>
        <v/>
      </c>
      <c r="D710" s="3" t="str">
        <f t="shared" ref="D710:D773" si="13">IF(B710="","",_xlfn.TEXTAFTER(B710," "))</f>
        <v/>
      </c>
      <c r="E710" s="159" t="str">
        <f>IF(C710="","",_xlfn.XLOOKUP(C710,Legend!$A$10:$A$26,Legend!$C$10:$C$26,"NOT FOUND",0,1))</f>
        <v/>
      </c>
      <c r="F710" s="160" t="str">
        <f>IF(C710="","",_xlfn.XLOOKUP(D710,Legend!$A$29:$A$118,Legend!$B$29:$B$118,"NOT FOUND",0,1))</f>
        <v/>
      </c>
      <c r="G710" s="268" t="str">
        <f>IF(C710="","",_xlfn.XLOOKUP(D710,Legend!$A$29:$A$118,Legend!$C$29:$C$118,"NOT FOUND",0,1))</f>
        <v/>
      </c>
    </row>
    <row r="711" spans="1:7" x14ac:dyDescent="0.2">
      <c r="A711" s="3">
        <v>1</v>
      </c>
      <c r="C711" s="3" t="str">
        <f>IF(B711="","",IF(ISNUMBER(VALUE(_xlfn.TEXTBEFORE(B711," "))),_xlfn.XLOOKUP(VALUE(_xlfn.TEXTBEFORE(B711," ")),Legend!$B$11:$B$26,Legend!$A$11:$A$26,"NOT FOUND",0,1),_xlfn.TEXTBEFORE(B711," ")))</f>
        <v/>
      </c>
      <c r="D711" s="3" t="str">
        <f t="shared" si="13"/>
        <v/>
      </c>
      <c r="E711" s="159" t="str">
        <f>IF(C711="","",_xlfn.XLOOKUP(C711,Legend!$A$10:$A$26,Legend!$C$10:$C$26,"NOT FOUND",0,1))</f>
        <v/>
      </c>
      <c r="F711" s="160" t="str">
        <f>IF(C711="","",_xlfn.XLOOKUP(D711,Legend!$A$29:$A$118,Legend!$B$29:$B$118,"NOT FOUND",0,1))</f>
        <v/>
      </c>
      <c r="G711" s="268" t="str">
        <f>IF(C711="","",_xlfn.XLOOKUP(D711,Legend!$A$29:$A$118,Legend!$C$29:$C$118,"NOT FOUND",0,1))</f>
        <v/>
      </c>
    </row>
    <row r="712" spans="1:7" x14ac:dyDescent="0.2">
      <c r="A712" s="3">
        <v>1</v>
      </c>
      <c r="C712" s="3" t="str">
        <f>IF(B712="","",IF(ISNUMBER(VALUE(_xlfn.TEXTBEFORE(B712," "))),_xlfn.XLOOKUP(VALUE(_xlfn.TEXTBEFORE(B712," ")),Legend!$B$11:$B$26,Legend!$A$11:$A$26,"NOT FOUND",0,1),_xlfn.TEXTBEFORE(B712," ")))</f>
        <v/>
      </c>
      <c r="D712" s="3" t="str">
        <f t="shared" si="13"/>
        <v/>
      </c>
      <c r="E712" s="159" t="str">
        <f>IF(C712="","",_xlfn.XLOOKUP(C712,Legend!$A$10:$A$26,Legend!$C$10:$C$26,"NOT FOUND",0,1))</f>
        <v/>
      </c>
      <c r="F712" s="160" t="str">
        <f>IF(C712="","",_xlfn.XLOOKUP(D712,Legend!$A$29:$A$118,Legend!$B$29:$B$118,"NOT FOUND",0,1))</f>
        <v/>
      </c>
      <c r="G712" s="268" t="str">
        <f>IF(C712="","",_xlfn.XLOOKUP(D712,Legend!$A$29:$A$118,Legend!$C$29:$C$118,"NOT FOUND",0,1))</f>
        <v/>
      </c>
    </row>
    <row r="713" spans="1:7" x14ac:dyDescent="0.2">
      <c r="A713" s="3">
        <v>1</v>
      </c>
      <c r="C713" s="3" t="str">
        <f>IF(B713="","",IF(ISNUMBER(VALUE(_xlfn.TEXTBEFORE(B713," "))),_xlfn.XLOOKUP(VALUE(_xlfn.TEXTBEFORE(B713," ")),Legend!$B$11:$B$26,Legend!$A$11:$A$26,"NOT FOUND",0,1),_xlfn.TEXTBEFORE(B713," ")))</f>
        <v/>
      </c>
      <c r="D713" s="3" t="str">
        <f t="shared" si="13"/>
        <v/>
      </c>
      <c r="E713" s="159" t="str">
        <f>IF(C713="","",_xlfn.XLOOKUP(C713,Legend!$A$10:$A$26,Legend!$C$10:$C$26,"NOT FOUND",0,1))</f>
        <v/>
      </c>
      <c r="F713" s="160" t="str">
        <f>IF(C713="","",_xlfn.XLOOKUP(D713,Legend!$A$29:$A$118,Legend!$B$29:$B$118,"NOT FOUND",0,1))</f>
        <v/>
      </c>
      <c r="G713" s="268" t="str">
        <f>IF(C713="","",_xlfn.XLOOKUP(D713,Legend!$A$29:$A$118,Legend!$C$29:$C$118,"NOT FOUND",0,1))</f>
        <v/>
      </c>
    </row>
    <row r="714" spans="1:7" x14ac:dyDescent="0.2">
      <c r="A714" s="3">
        <v>1</v>
      </c>
      <c r="C714" s="3" t="str">
        <f>IF(B714="","",IF(ISNUMBER(VALUE(_xlfn.TEXTBEFORE(B714," "))),_xlfn.XLOOKUP(VALUE(_xlfn.TEXTBEFORE(B714," ")),Legend!$B$11:$B$26,Legend!$A$11:$A$26,"NOT FOUND",0,1),_xlfn.TEXTBEFORE(B714," ")))</f>
        <v/>
      </c>
      <c r="D714" s="3" t="str">
        <f t="shared" si="13"/>
        <v/>
      </c>
      <c r="E714" s="159" t="str">
        <f>IF(C714="","",_xlfn.XLOOKUP(C714,Legend!$A$10:$A$26,Legend!$C$10:$C$26,"NOT FOUND",0,1))</f>
        <v/>
      </c>
      <c r="F714" s="160" t="str">
        <f>IF(C714="","",_xlfn.XLOOKUP(D714,Legend!$A$29:$A$118,Legend!$B$29:$B$118,"NOT FOUND",0,1))</f>
        <v/>
      </c>
      <c r="G714" s="268" t="str">
        <f>IF(C714="","",_xlfn.XLOOKUP(D714,Legend!$A$29:$A$118,Legend!$C$29:$C$118,"NOT FOUND",0,1))</f>
        <v/>
      </c>
    </row>
    <row r="715" spans="1:7" x14ac:dyDescent="0.2">
      <c r="A715" s="3">
        <v>1</v>
      </c>
      <c r="C715" s="3" t="str">
        <f>IF(B715="","",IF(ISNUMBER(VALUE(_xlfn.TEXTBEFORE(B715," "))),_xlfn.XLOOKUP(VALUE(_xlfn.TEXTBEFORE(B715," ")),Legend!$B$11:$B$26,Legend!$A$11:$A$26,"NOT FOUND",0,1),_xlfn.TEXTBEFORE(B715," ")))</f>
        <v/>
      </c>
      <c r="D715" s="3" t="str">
        <f t="shared" si="13"/>
        <v/>
      </c>
      <c r="E715" s="159" t="str">
        <f>IF(C715="","",_xlfn.XLOOKUP(C715,Legend!$A$10:$A$26,Legend!$C$10:$C$26,"NOT FOUND",0,1))</f>
        <v/>
      </c>
      <c r="F715" s="160" t="str">
        <f>IF(C715="","",_xlfn.XLOOKUP(D715,Legend!$A$29:$A$118,Legend!$B$29:$B$118,"NOT FOUND",0,1))</f>
        <v/>
      </c>
      <c r="G715" s="268" t="str">
        <f>IF(C715="","",_xlfn.XLOOKUP(D715,Legend!$A$29:$A$118,Legend!$C$29:$C$118,"NOT FOUND",0,1))</f>
        <v/>
      </c>
    </row>
    <row r="716" spans="1:7" x14ac:dyDescent="0.2">
      <c r="A716" s="3">
        <v>1</v>
      </c>
      <c r="C716" s="3" t="str">
        <f>IF(B716="","",IF(ISNUMBER(VALUE(_xlfn.TEXTBEFORE(B716," "))),_xlfn.XLOOKUP(VALUE(_xlfn.TEXTBEFORE(B716," ")),Legend!$B$11:$B$26,Legend!$A$11:$A$26,"NOT FOUND",0,1),_xlfn.TEXTBEFORE(B716," ")))</f>
        <v/>
      </c>
      <c r="D716" s="3" t="str">
        <f t="shared" si="13"/>
        <v/>
      </c>
      <c r="E716" s="159" t="str">
        <f>IF(C716="","",_xlfn.XLOOKUP(C716,Legend!$A$10:$A$26,Legend!$C$10:$C$26,"NOT FOUND",0,1))</f>
        <v/>
      </c>
      <c r="F716" s="160" t="str">
        <f>IF(C716="","",_xlfn.XLOOKUP(D716,Legend!$A$29:$A$118,Legend!$B$29:$B$118,"NOT FOUND",0,1))</f>
        <v/>
      </c>
      <c r="G716" s="268" t="str">
        <f>IF(C716="","",_xlfn.XLOOKUP(D716,Legend!$A$29:$A$118,Legend!$C$29:$C$118,"NOT FOUND",0,1))</f>
        <v/>
      </c>
    </row>
    <row r="717" spans="1:7" x14ac:dyDescent="0.2">
      <c r="A717" s="3">
        <v>1</v>
      </c>
      <c r="C717" s="3" t="str">
        <f>IF(B717="","",IF(ISNUMBER(VALUE(_xlfn.TEXTBEFORE(B717," "))),_xlfn.XLOOKUP(VALUE(_xlfn.TEXTBEFORE(B717," ")),Legend!$B$11:$B$26,Legend!$A$11:$A$26,"NOT FOUND",0,1),_xlfn.TEXTBEFORE(B717," ")))</f>
        <v/>
      </c>
      <c r="D717" s="3" t="str">
        <f t="shared" si="13"/>
        <v/>
      </c>
      <c r="E717" s="159" t="str">
        <f>IF(C717="","",_xlfn.XLOOKUP(C717,Legend!$A$10:$A$26,Legend!$C$10:$C$26,"NOT FOUND",0,1))</f>
        <v/>
      </c>
      <c r="F717" s="160" t="str">
        <f>IF(C717="","",_xlfn.XLOOKUP(D717,Legend!$A$29:$A$118,Legend!$B$29:$B$118,"NOT FOUND",0,1))</f>
        <v/>
      </c>
      <c r="G717" s="268" t="str">
        <f>IF(C717="","",_xlfn.XLOOKUP(D717,Legend!$A$29:$A$118,Legend!$C$29:$C$118,"NOT FOUND",0,1))</f>
        <v/>
      </c>
    </row>
    <row r="718" spans="1:7" x14ac:dyDescent="0.2">
      <c r="A718" s="3">
        <v>1</v>
      </c>
      <c r="C718" s="3" t="str">
        <f>IF(B718="","",IF(ISNUMBER(VALUE(_xlfn.TEXTBEFORE(B718," "))),_xlfn.XLOOKUP(VALUE(_xlfn.TEXTBEFORE(B718," ")),Legend!$B$11:$B$26,Legend!$A$11:$A$26,"NOT FOUND",0,1),_xlfn.TEXTBEFORE(B718," ")))</f>
        <v/>
      </c>
      <c r="D718" s="3" t="str">
        <f t="shared" si="13"/>
        <v/>
      </c>
      <c r="E718" s="159" t="str">
        <f>IF(C718="","",_xlfn.XLOOKUP(C718,Legend!$A$10:$A$26,Legend!$C$10:$C$26,"NOT FOUND",0,1))</f>
        <v/>
      </c>
      <c r="F718" s="160" t="str">
        <f>IF(C718="","",_xlfn.XLOOKUP(D718,Legend!$A$29:$A$118,Legend!$B$29:$B$118,"NOT FOUND",0,1))</f>
        <v/>
      </c>
      <c r="G718" s="268" t="str">
        <f>IF(C718="","",_xlfn.XLOOKUP(D718,Legend!$A$29:$A$118,Legend!$C$29:$C$118,"NOT FOUND",0,1))</f>
        <v/>
      </c>
    </row>
    <row r="719" spans="1:7" x14ac:dyDescent="0.2">
      <c r="A719" s="3">
        <v>1</v>
      </c>
      <c r="C719" s="3" t="str">
        <f>IF(B719="","",IF(ISNUMBER(VALUE(_xlfn.TEXTBEFORE(B719," "))),_xlfn.XLOOKUP(VALUE(_xlfn.TEXTBEFORE(B719," ")),Legend!$B$11:$B$26,Legend!$A$11:$A$26,"NOT FOUND",0,1),_xlfn.TEXTBEFORE(B719," ")))</f>
        <v/>
      </c>
      <c r="D719" s="3" t="str">
        <f t="shared" si="13"/>
        <v/>
      </c>
      <c r="E719" s="159" t="str">
        <f>IF(C719="","",_xlfn.XLOOKUP(C719,Legend!$A$10:$A$26,Legend!$C$10:$C$26,"NOT FOUND",0,1))</f>
        <v/>
      </c>
      <c r="F719" s="160" t="str">
        <f>IF(C719="","",_xlfn.XLOOKUP(D719,Legend!$A$29:$A$118,Legend!$B$29:$B$118,"NOT FOUND",0,1))</f>
        <v/>
      </c>
      <c r="G719" s="268" t="str">
        <f>IF(C719="","",_xlfn.XLOOKUP(D719,Legend!$A$29:$A$118,Legend!$C$29:$C$118,"NOT FOUND",0,1))</f>
        <v/>
      </c>
    </row>
    <row r="720" spans="1:7" x14ac:dyDescent="0.2">
      <c r="A720" s="3">
        <v>1</v>
      </c>
      <c r="C720" s="3" t="str">
        <f>IF(B720="","",IF(ISNUMBER(VALUE(_xlfn.TEXTBEFORE(B720," "))),_xlfn.XLOOKUP(VALUE(_xlfn.TEXTBEFORE(B720," ")),Legend!$B$11:$B$26,Legend!$A$11:$A$26,"NOT FOUND",0,1),_xlfn.TEXTBEFORE(B720," ")))</f>
        <v/>
      </c>
      <c r="D720" s="3" t="str">
        <f t="shared" si="13"/>
        <v/>
      </c>
      <c r="E720" s="159" t="str">
        <f>IF(C720="","",_xlfn.XLOOKUP(C720,Legend!$A$10:$A$26,Legend!$C$10:$C$26,"NOT FOUND",0,1))</f>
        <v/>
      </c>
      <c r="F720" s="160" t="str">
        <f>IF(C720="","",_xlfn.XLOOKUP(D720,Legend!$A$29:$A$118,Legend!$B$29:$B$118,"NOT FOUND",0,1))</f>
        <v/>
      </c>
      <c r="G720" s="268" t="str">
        <f>IF(C720="","",_xlfn.XLOOKUP(D720,Legend!$A$29:$A$118,Legend!$C$29:$C$118,"NOT FOUND",0,1))</f>
        <v/>
      </c>
    </row>
    <row r="721" spans="1:7" x14ac:dyDescent="0.2">
      <c r="A721" s="3">
        <v>1</v>
      </c>
      <c r="C721" s="3" t="str">
        <f>IF(B721="","",IF(ISNUMBER(VALUE(_xlfn.TEXTBEFORE(B721," "))),_xlfn.XLOOKUP(VALUE(_xlfn.TEXTBEFORE(B721," ")),Legend!$B$11:$B$26,Legend!$A$11:$A$26,"NOT FOUND",0,1),_xlfn.TEXTBEFORE(B721," ")))</f>
        <v/>
      </c>
      <c r="D721" s="3" t="str">
        <f t="shared" si="13"/>
        <v/>
      </c>
      <c r="E721" s="159" t="str">
        <f>IF(C721="","",_xlfn.XLOOKUP(C721,Legend!$A$10:$A$26,Legend!$C$10:$C$26,"NOT FOUND",0,1))</f>
        <v/>
      </c>
      <c r="F721" s="160" t="str">
        <f>IF(C721="","",_xlfn.XLOOKUP(D721,Legend!$A$29:$A$118,Legend!$B$29:$B$118,"NOT FOUND",0,1))</f>
        <v/>
      </c>
      <c r="G721" s="268" t="str">
        <f>IF(C721="","",_xlfn.XLOOKUP(D721,Legend!$A$29:$A$118,Legend!$C$29:$C$118,"NOT FOUND",0,1))</f>
        <v/>
      </c>
    </row>
    <row r="722" spans="1:7" x14ac:dyDescent="0.2">
      <c r="A722" s="3">
        <v>1</v>
      </c>
      <c r="C722" s="3" t="str">
        <f>IF(B722="","",IF(ISNUMBER(VALUE(_xlfn.TEXTBEFORE(B722," "))),_xlfn.XLOOKUP(VALUE(_xlfn.TEXTBEFORE(B722," ")),Legend!$B$11:$B$26,Legend!$A$11:$A$26,"NOT FOUND",0,1),_xlfn.TEXTBEFORE(B722," ")))</f>
        <v/>
      </c>
      <c r="D722" s="3" t="str">
        <f t="shared" si="13"/>
        <v/>
      </c>
      <c r="E722" s="159" t="str">
        <f>IF(C722="","",_xlfn.XLOOKUP(C722,Legend!$A$10:$A$26,Legend!$C$10:$C$26,"NOT FOUND",0,1))</f>
        <v/>
      </c>
      <c r="F722" s="160" t="str">
        <f>IF(C722="","",_xlfn.XLOOKUP(D722,Legend!$A$29:$A$118,Legend!$B$29:$B$118,"NOT FOUND",0,1))</f>
        <v/>
      </c>
      <c r="G722" s="268" t="str">
        <f>IF(C722="","",_xlfn.XLOOKUP(D722,Legend!$A$29:$A$118,Legend!$C$29:$C$118,"NOT FOUND",0,1))</f>
        <v/>
      </c>
    </row>
    <row r="723" spans="1:7" x14ac:dyDescent="0.2">
      <c r="A723" s="3">
        <v>1</v>
      </c>
      <c r="C723" s="3" t="str">
        <f>IF(B723="","",IF(ISNUMBER(VALUE(_xlfn.TEXTBEFORE(B723," "))),_xlfn.XLOOKUP(VALUE(_xlfn.TEXTBEFORE(B723," ")),Legend!$B$11:$B$26,Legend!$A$11:$A$26,"NOT FOUND",0,1),_xlfn.TEXTBEFORE(B723," ")))</f>
        <v/>
      </c>
      <c r="D723" s="3" t="str">
        <f t="shared" si="13"/>
        <v/>
      </c>
      <c r="E723" s="159" t="str">
        <f>IF(C723="","",_xlfn.XLOOKUP(C723,Legend!$A$10:$A$26,Legend!$C$10:$C$26,"NOT FOUND",0,1))</f>
        <v/>
      </c>
      <c r="F723" s="160" t="str">
        <f>IF(C723="","",_xlfn.XLOOKUP(D723,Legend!$A$29:$A$118,Legend!$B$29:$B$118,"NOT FOUND",0,1))</f>
        <v/>
      </c>
      <c r="G723" s="268" t="str">
        <f>IF(C723="","",_xlfn.XLOOKUP(D723,Legend!$A$29:$A$118,Legend!$C$29:$C$118,"NOT FOUND",0,1))</f>
        <v/>
      </c>
    </row>
    <row r="724" spans="1:7" x14ac:dyDescent="0.2">
      <c r="A724" s="3">
        <v>1</v>
      </c>
      <c r="C724" s="3" t="str">
        <f>IF(B724="","",IF(ISNUMBER(VALUE(_xlfn.TEXTBEFORE(B724," "))),_xlfn.XLOOKUP(VALUE(_xlfn.TEXTBEFORE(B724," ")),Legend!$B$11:$B$26,Legend!$A$11:$A$26,"NOT FOUND",0,1),_xlfn.TEXTBEFORE(B724," ")))</f>
        <v/>
      </c>
      <c r="D724" s="3" t="str">
        <f t="shared" si="13"/>
        <v/>
      </c>
      <c r="E724" s="159" t="str">
        <f>IF(C724="","",_xlfn.XLOOKUP(C724,Legend!$A$10:$A$26,Legend!$C$10:$C$26,"NOT FOUND",0,1))</f>
        <v/>
      </c>
      <c r="F724" s="160" t="str">
        <f>IF(C724="","",_xlfn.XLOOKUP(D724,Legend!$A$29:$A$118,Legend!$B$29:$B$118,"NOT FOUND",0,1))</f>
        <v/>
      </c>
      <c r="G724" s="268" t="str">
        <f>IF(C724="","",_xlfn.XLOOKUP(D724,Legend!$A$29:$A$118,Legend!$C$29:$C$118,"NOT FOUND",0,1))</f>
        <v/>
      </c>
    </row>
    <row r="725" spans="1:7" x14ac:dyDescent="0.2">
      <c r="A725" s="3">
        <v>1</v>
      </c>
      <c r="C725" s="3" t="str">
        <f>IF(B725="","",IF(ISNUMBER(VALUE(_xlfn.TEXTBEFORE(B725," "))),_xlfn.XLOOKUP(VALUE(_xlfn.TEXTBEFORE(B725," ")),Legend!$B$11:$B$26,Legend!$A$11:$A$26,"NOT FOUND",0,1),_xlfn.TEXTBEFORE(B725," ")))</f>
        <v/>
      </c>
      <c r="D725" s="3" t="str">
        <f t="shared" si="13"/>
        <v/>
      </c>
      <c r="E725" s="159" t="str">
        <f>IF(C725="","",_xlfn.XLOOKUP(C725,Legend!$A$10:$A$26,Legend!$C$10:$C$26,"NOT FOUND",0,1))</f>
        <v/>
      </c>
      <c r="F725" s="160" t="str">
        <f>IF(C725="","",_xlfn.XLOOKUP(D725,Legend!$A$29:$A$118,Legend!$B$29:$B$118,"NOT FOUND",0,1))</f>
        <v/>
      </c>
      <c r="G725" s="268" t="str">
        <f>IF(C725="","",_xlfn.XLOOKUP(D725,Legend!$A$29:$A$118,Legend!$C$29:$C$118,"NOT FOUND",0,1))</f>
        <v/>
      </c>
    </row>
    <row r="726" spans="1:7" x14ac:dyDescent="0.2">
      <c r="A726" s="3">
        <v>1</v>
      </c>
      <c r="C726" s="3" t="str">
        <f>IF(B726="","",IF(ISNUMBER(VALUE(_xlfn.TEXTBEFORE(B726," "))),_xlfn.XLOOKUP(VALUE(_xlfn.TEXTBEFORE(B726," ")),Legend!$B$11:$B$26,Legend!$A$11:$A$26,"NOT FOUND",0,1),_xlfn.TEXTBEFORE(B726," ")))</f>
        <v/>
      </c>
      <c r="D726" s="3" t="str">
        <f t="shared" si="13"/>
        <v/>
      </c>
      <c r="E726" s="159" t="str">
        <f>IF(C726="","",_xlfn.XLOOKUP(C726,Legend!$A$10:$A$26,Legend!$C$10:$C$26,"NOT FOUND",0,1))</f>
        <v/>
      </c>
      <c r="F726" s="160" t="str">
        <f>IF(C726="","",_xlfn.XLOOKUP(D726,Legend!$A$29:$A$118,Legend!$B$29:$B$118,"NOT FOUND",0,1))</f>
        <v/>
      </c>
      <c r="G726" s="268" t="str">
        <f>IF(C726="","",_xlfn.XLOOKUP(D726,Legend!$A$29:$A$118,Legend!$C$29:$C$118,"NOT FOUND",0,1))</f>
        <v/>
      </c>
    </row>
    <row r="727" spans="1:7" x14ac:dyDescent="0.2">
      <c r="A727" s="3">
        <v>1</v>
      </c>
      <c r="C727" s="3" t="str">
        <f>IF(B727="","",IF(ISNUMBER(VALUE(_xlfn.TEXTBEFORE(B727," "))),_xlfn.XLOOKUP(VALUE(_xlfn.TEXTBEFORE(B727," ")),Legend!$B$11:$B$26,Legend!$A$11:$A$26,"NOT FOUND",0,1),_xlfn.TEXTBEFORE(B727," ")))</f>
        <v/>
      </c>
      <c r="D727" s="3" t="str">
        <f t="shared" si="13"/>
        <v/>
      </c>
      <c r="E727" s="159" t="str">
        <f>IF(C727="","",_xlfn.XLOOKUP(C727,Legend!$A$10:$A$26,Legend!$C$10:$C$26,"NOT FOUND",0,1))</f>
        <v/>
      </c>
      <c r="F727" s="160" t="str">
        <f>IF(C727="","",_xlfn.XLOOKUP(D727,Legend!$A$29:$A$118,Legend!$B$29:$B$118,"NOT FOUND",0,1))</f>
        <v/>
      </c>
      <c r="G727" s="268" t="str">
        <f>IF(C727="","",_xlfn.XLOOKUP(D727,Legend!$A$29:$A$118,Legend!$C$29:$C$118,"NOT FOUND",0,1))</f>
        <v/>
      </c>
    </row>
    <row r="728" spans="1:7" x14ac:dyDescent="0.2">
      <c r="A728" s="3">
        <v>1</v>
      </c>
      <c r="C728" s="3" t="str">
        <f>IF(B728="","",IF(ISNUMBER(VALUE(_xlfn.TEXTBEFORE(B728," "))),_xlfn.XLOOKUP(VALUE(_xlfn.TEXTBEFORE(B728," ")),Legend!$B$11:$B$26,Legend!$A$11:$A$26,"NOT FOUND",0,1),_xlfn.TEXTBEFORE(B728," ")))</f>
        <v/>
      </c>
      <c r="D728" s="3" t="str">
        <f t="shared" si="13"/>
        <v/>
      </c>
      <c r="E728" s="159" t="str">
        <f>IF(C728="","",_xlfn.XLOOKUP(C728,Legend!$A$10:$A$26,Legend!$C$10:$C$26,"NOT FOUND",0,1))</f>
        <v/>
      </c>
      <c r="F728" s="160" t="str">
        <f>IF(C728="","",_xlfn.XLOOKUP(D728,Legend!$A$29:$A$118,Legend!$B$29:$B$118,"NOT FOUND",0,1))</f>
        <v/>
      </c>
      <c r="G728" s="268" t="str">
        <f>IF(C728="","",_xlfn.XLOOKUP(D728,Legend!$A$29:$A$118,Legend!$C$29:$C$118,"NOT FOUND",0,1))</f>
        <v/>
      </c>
    </row>
    <row r="729" spans="1:7" x14ac:dyDescent="0.2">
      <c r="A729" s="3">
        <v>1</v>
      </c>
      <c r="C729" s="3" t="str">
        <f>IF(B729="","",IF(ISNUMBER(VALUE(_xlfn.TEXTBEFORE(B729," "))),_xlfn.XLOOKUP(VALUE(_xlfn.TEXTBEFORE(B729," ")),Legend!$B$11:$B$26,Legend!$A$11:$A$26,"NOT FOUND",0,1),_xlfn.TEXTBEFORE(B729," ")))</f>
        <v/>
      </c>
      <c r="D729" s="3" t="str">
        <f t="shared" si="13"/>
        <v/>
      </c>
      <c r="E729" s="159" t="str">
        <f>IF(C729="","",_xlfn.XLOOKUP(C729,Legend!$A$10:$A$26,Legend!$C$10:$C$26,"NOT FOUND",0,1))</f>
        <v/>
      </c>
      <c r="F729" s="160" t="str">
        <f>IF(C729="","",_xlfn.XLOOKUP(D729,Legend!$A$29:$A$118,Legend!$B$29:$B$118,"NOT FOUND",0,1))</f>
        <v/>
      </c>
      <c r="G729" s="268" t="str">
        <f>IF(C729="","",_xlfn.XLOOKUP(D729,Legend!$A$29:$A$118,Legend!$C$29:$C$118,"NOT FOUND",0,1))</f>
        <v/>
      </c>
    </row>
    <row r="730" spans="1:7" x14ac:dyDescent="0.2">
      <c r="A730" s="3">
        <v>1</v>
      </c>
      <c r="C730" s="3" t="str">
        <f>IF(B730="","",IF(ISNUMBER(VALUE(_xlfn.TEXTBEFORE(B730," "))),_xlfn.XLOOKUP(VALUE(_xlfn.TEXTBEFORE(B730," ")),Legend!$B$11:$B$26,Legend!$A$11:$A$26,"NOT FOUND",0,1),_xlfn.TEXTBEFORE(B730," ")))</f>
        <v/>
      </c>
      <c r="D730" s="3" t="str">
        <f t="shared" si="13"/>
        <v/>
      </c>
      <c r="E730" s="159" t="str">
        <f>IF(C730="","",_xlfn.XLOOKUP(C730,Legend!$A$10:$A$26,Legend!$C$10:$C$26,"NOT FOUND",0,1))</f>
        <v/>
      </c>
      <c r="F730" s="160" t="str">
        <f>IF(C730="","",_xlfn.XLOOKUP(D730,Legend!$A$29:$A$118,Legend!$B$29:$B$118,"NOT FOUND",0,1))</f>
        <v/>
      </c>
      <c r="G730" s="268" t="str">
        <f>IF(C730="","",_xlfn.XLOOKUP(D730,Legend!$A$29:$A$118,Legend!$C$29:$C$118,"NOT FOUND",0,1))</f>
        <v/>
      </c>
    </row>
    <row r="731" spans="1:7" x14ac:dyDescent="0.2">
      <c r="A731" s="3">
        <v>1</v>
      </c>
      <c r="C731" s="3" t="str">
        <f>IF(B731="","",IF(ISNUMBER(VALUE(_xlfn.TEXTBEFORE(B731," "))),_xlfn.XLOOKUP(VALUE(_xlfn.TEXTBEFORE(B731," ")),Legend!$B$11:$B$26,Legend!$A$11:$A$26,"NOT FOUND",0,1),_xlfn.TEXTBEFORE(B731," ")))</f>
        <v/>
      </c>
      <c r="D731" s="3" t="str">
        <f t="shared" si="13"/>
        <v/>
      </c>
      <c r="E731" s="159" t="str">
        <f>IF(C731="","",_xlfn.XLOOKUP(C731,Legend!$A$10:$A$26,Legend!$C$10:$C$26,"NOT FOUND",0,1))</f>
        <v/>
      </c>
      <c r="F731" s="160" t="str">
        <f>IF(C731="","",_xlfn.XLOOKUP(D731,Legend!$A$29:$A$118,Legend!$B$29:$B$118,"NOT FOUND",0,1))</f>
        <v/>
      </c>
      <c r="G731" s="268" t="str">
        <f>IF(C731="","",_xlfn.XLOOKUP(D731,Legend!$A$29:$A$118,Legend!$C$29:$C$118,"NOT FOUND",0,1))</f>
        <v/>
      </c>
    </row>
    <row r="732" spans="1:7" x14ac:dyDescent="0.2">
      <c r="A732" s="3">
        <v>1</v>
      </c>
      <c r="C732" s="3" t="str">
        <f>IF(B732="","",IF(ISNUMBER(VALUE(_xlfn.TEXTBEFORE(B732," "))),_xlfn.XLOOKUP(VALUE(_xlfn.TEXTBEFORE(B732," ")),Legend!$B$11:$B$26,Legend!$A$11:$A$26,"NOT FOUND",0,1),_xlfn.TEXTBEFORE(B732," ")))</f>
        <v/>
      </c>
      <c r="D732" s="3" t="str">
        <f t="shared" si="13"/>
        <v/>
      </c>
      <c r="E732" s="159" t="str">
        <f>IF(C732="","",_xlfn.XLOOKUP(C732,Legend!$A$10:$A$26,Legend!$C$10:$C$26,"NOT FOUND",0,1))</f>
        <v/>
      </c>
      <c r="F732" s="160" t="str">
        <f>IF(C732="","",_xlfn.XLOOKUP(D732,Legend!$A$29:$A$118,Legend!$B$29:$B$118,"NOT FOUND",0,1))</f>
        <v/>
      </c>
      <c r="G732" s="268" t="str">
        <f>IF(C732="","",_xlfn.XLOOKUP(D732,Legend!$A$29:$A$118,Legend!$C$29:$C$118,"NOT FOUND",0,1))</f>
        <v/>
      </c>
    </row>
    <row r="733" spans="1:7" x14ac:dyDescent="0.2">
      <c r="A733" s="3">
        <v>1</v>
      </c>
      <c r="C733" s="3" t="str">
        <f>IF(B733="","",IF(ISNUMBER(VALUE(_xlfn.TEXTBEFORE(B733," "))),_xlfn.XLOOKUP(VALUE(_xlfn.TEXTBEFORE(B733," ")),Legend!$B$11:$B$26,Legend!$A$11:$A$26,"NOT FOUND",0,1),_xlfn.TEXTBEFORE(B733," ")))</f>
        <v/>
      </c>
      <c r="D733" s="3" t="str">
        <f t="shared" si="13"/>
        <v/>
      </c>
      <c r="E733" s="159" t="str">
        <f>IF(C733="","",_xlfn.XLOOKUP(C733,Legend!$A$10:$A$26,Legend!$C$10:$C$26,"NOT FOUND",0,1))</f>
        <v/>
      </c>
      <c r="F733" s="160" t="str">
        <f>IF(C733="","",_xlfn.XLOOKUP(D733,Legend!$A$29:$A$118,Legend!$B$29:$B$118,"NOT FOUND",0,1))</f>
        <v/>
      </c>
      <c r="G733" s="268" t="str">
        <f>IF(C733="","",_xlfn.XLOOKUP(D733,Legend!$A$29:$A$118,Legend!$C$29:$C$118,"NOT FOUND",0,1))</f>
        <v/>
      </c>
    </row>
    <row r="734" spans="1:7" x14ac:dyDescent="0.2">
      <c r="A734" s="3">
        <v>1</v>
      </c>
      <c r="C734" s="3" t="str">
        <f>IF(B734="","",IF(ISNUMBER(VALUE(_xlfn.TEXTBEFORE(B734," "))),_xlfn.XLOOKUP(VALUE(_xlfn.TEXTBEFORE(B734," ")),Legend!$B$11:$B$26,Legend!$A$11:$A$26,"NOT FOUND",0,1),_xlfn.TEXTBEFORE(B734," ")))</f>
        <v/>
      </c>
      <c r="D734" s="3" t="str">
        <f t="shared" si="13"/>
        <v/>
      </c>
      <c r="E734" s="159" t="str">
        <f>IF(C734="","",_xlfn.XLOOKUP(C734,Legend!$A$10:$A$26,Legend!$C$10:$C$26,"NOT FOUND",0,1))</f>
        <v/>
      </c>
      <c r="F734" s="160" t="str">
        <f>IF(C734="","",_xlfn.XLOOKUP(D734,Legend!$A$29:$A$118,Legend!$B$29:$B$118,"NOT FOUND",0,1))</f>
        <v/>
      </c>
      <c r="G734" s="268" t="str">
        <f>IF(C734="","",_xlfn.XLOOKUP(D734,Legend!$A$29:$A$118,Legend!$C$29:$C$118,"NOT FOUND",0,1))</f>
        <v/>
      </c>
    </row>
    <row r="735" spans="1:7" x14ac:dyDescent="0.2">
      <c r="A735" s="3">
        <v>1</v>
      </c>
      <c r="C735" s="3" t="str">
        <f>IF(B735="","",IF(ISNUMBER(VALUE(_xlfn.TEXTBEFORE(B735," "))),_xlfn.XLOOKUP(VALUE(_xlfn.TEXTBEFORE(B735," ")),Legend!$B$11:$B$26,Legend!$A$11:$A$26,"NOT FOUND",0,1),_xlfn.TEXTBEFORE(B735," ")))</f>
        <v/>
      </c>
      <c r="D735" s="3" t="str">
        <f t="shared" si="13"/>
        <v/>
      </c>
      <c r="E735" s="159" t="str">
        <f>IF(C735="","",_xlfn.XLOOKUP(C735,Legend!$A$10:$A$26,Legend!$C$10:$C$26,"NOT FOUND",0,1))</f>
        <v/>
      </c>
      <c r="F735" s="160" t="str">
        <f>IF(C735="","",_xlfn.XLOOKUP(D735,Legend!$A$29:$A$118,Legend!$B$29:$B$118,"NOT FOUND",0,1))</f>
        <v/>
      </c>
      <c r="G735" s="268" t="str">
        <f>IF(C735="","",_xlfn.XLOOKUP(D735,Legend!$A$29:$A$118,Legend!$C$29:$C$118,"NOT FOUND",0,1))</f>
        <v/>
      </c>
    </row>
    <row r="736" spans="1:7" x14ac:dyDescent="0.2">
      <c r="A736" s="3">
        <v>1</v>
      </c>
      <c r="C736" s="3" t="str">
        <f>IF(B736="","",IF(ISNUMBER(VALUE(_xlfn.TEXTBEFORE(B736," "))),_xlfn.XLOOKUP(VALUE(_xlfn.TEXTBEFORE(B736," ")),Legend!$B$11:$B$26,Legend!$A$11:$A$26,"NOT FOUND",0,1),_xlfn.TEXTBEFORE(B736," ")))</f>
        <v/>
      </c>
      <c r="D736" s="3" t="str">
        <f t="shared" si="13"/>
        <v/>
      </c>
      <c r="E736" s="159" t="str">
        <f>IF(C736="","",_xlfn.XLOOKUP(C736,Legend!$A$10:$A$26,Legend!$C$10:$C$26,"NOT FOUND",0,1))</f>
        <v/>
      </c>
      <c r="F736" s="160" t="str">
        <f>IF(C736="","",_xlfn.XLOOKUP(D736,Legend!$A$29:$A$118,Legend!$B$29:$B$118,"NOT FOUND",0,1))</f>
        <v/>
      </c>
      <c r="G736" s="268" t="str">
        <f>IF(C736="","",_xlfn.XLOOKUP(D736,Legend!$A$29:$A$118,Legend!$C$29:$C$118,"NOT FOUND",0,1))</f>
        <v/>
      </c>
    </row>
    <row r="737" spans="1:7" x14ac:dyDescent="0.2">
      <c r="A737" s="3">
        <v>1</v>
      </c>
      <c r="C737" s="3" t="str">
        <f>IF(B737="","",IF(ISNUMBER(VALUE(_xlfn.TEXTBEFORE(B737," "))),_xlfn.XLOOKUP(VALUE(_xlfn.TEXTBEFORE(B737," ")),Legend!$B$11:$B$26,Legend!$A$11:$A$26,"NOT FOUND",0,1),_xlfn.TEXTBEFORE(B737," ")))</f>
        <v/>
      </c>
      <c r="D737" s="3" t="str">
        <f t="shared" si="13"/>
        <v/>
      </c>
      <c r="E737" s="159" t="str">
        <f>IF(C737="","",_xlfn.XLOOKUP(C737,Legend!$A$10:$A$26,Legend!$C$10:$C$26,"NOT FOUND",0,1))</f>
        <v/>
      </c>
      <c r="F737" s="160" t="str">
        <f>IF(C737="","",_xlfn.XLOOKUP(D737,Legend!$A$29:$A$118,Legend!$B$29:$B$118,"NOT FOUND",0,1))</f>
        <v/>
      </c>
      <c r="G737" s="268" t="str">
        <f>IF(C737="","",_xlfn.XLOOKUP(D737,Legend!$A$29:$A$118,Legend!$C$29:$C$118,"NOT FOUND",0,1))</f>
        <v/>
      </c>
    </row>
    <row r="738" spans="1:7" x14ac:dyDescent="0.2">
      <c r="A738" s="3">
        <v>1</v>
      </c>
      <c r="C738" s="3" t="str">
        <f>IF(B738="","",IF(ISNUMBER(VALUE(_xlfn.TEXTBEFORE(B738," "))),_xlfn.XLOOKUP(VALUE(_xlfn.TEXTBEFORE(B738," ")),Legend!$B$11:$B$26,Legend!$A$11:$A$26,"NOT FOUND",0,1),_xlfn.TEXTBEFORE(B738," ")))</f>
        <v/>
      </c>
      <c r="D738" s="3" t="str">
        <f t="shared" si="13"/>
        <v/>
      </c>
      <c r="E738" s="159" t="str">
        <f>IF(C738="","",_xlfn.XLOOKUP(C738,Legend!$A$10:$A$26,Legend!$C$10:$C$26,"NOT FOUND",0,1))</f>
        <v/>
      </c>
      <c r="F738" s="160" t="str">
        <f>IF(C738="","",_xlfn.XLOOKUP(D738,Legend!$A$29:$A$118,Legend!$B$29:$B$118,"NOT FOUND",0,1))</f>
        <v/>
      </c>
      <c r="G738" s="268" t="str">
        <f>IF(C738="","",_xlfn.XLOOKUP(D738,Legend!$A$29:$A$118,Legend!$C$29:$C$118,"NOT FOUND",0,1))</f>
        <v/>
      </c>
    </row>
    <row r="739" spans="1:7" x14ac:dyDescent="0.2">
      <c r="A739" s="3">
        <v>1</v>
      </c>
      <c r="C739" s="3" t="str">
        <f>IF(B739="","",IF(ISNUMBER(VALUE(_xlfn.TEXTBEFORE(B739," "))),_xlfn.XLOOKUP(VALUE(_xlfn.TEXTBEFORE(B739," ")),Legend!$B$11:$B$26,Legend!$A$11:$A$26,"NOT FOUND",0,1),_xlfn.TEXTBEFORE(B739," ")))</f>
        <v/>
      </c>
      <c r="D739" s="3" t="str">
        <f t="shared" si="13"/>
        <v/>
      </c>
      <c r="E739" s="159" t="str">
        <f>IF(C739="","",_xlfn.XLOOKUP(C739,Legend!$A$10:$A$26,Legend!$C$10:$C$26,"NOT FOUND",0,1))</f>
        <v/>
      </c>
      <c r="F739" s="160" t="str">
        <f>IF(C739="","",_xlfn.XLOOKUP(D739,Legend!$A$29:$A$118,Legend!$B$29:$B$118,"NOT FOUND",0,1))</f>
        <v/>
      </c>
      <c r="G739" s="268" t="str">
        <f>IF(C739="","",_xlfn.XLOOKUP(D739,Legend!$A$29:$A$118,Legend!$C$29:$C$118,"NOT FOUND",0,1))</f>
        <v/>
      </c>
    </row>
    <row r="740" spans="1:7" x14ac:dyDescent="0.2">
      <c r="A740" s="3">
        <v>1</v>
      </c>
      <c r="C740" s="3" t="str">
        <f>IF(B740="","",IF(ISNUMBER(VALUE(_xlfn.TEXTBEFORE(B740," "))),_xlfn.XLOOKUP(VALUE(_xlfn.TEXTBEFORE(B740," ")),Legend!$B$11:$B$26,Legend!$A$11:$A$26,"NOT FOUND",0,1),_xlfn.TEXTBEFORE(B740," ")))</f>
        <v/>
      </c>
      <c r="D740" s="3" t="str">
        <f t="shared" si="13"/>
        <v/>
      </c>
      <c r="E740" s="159" t="str">
        <f>IF(C740="","",_xlfn.XLOOKUP(C740,Legend!$A$10:$A$26,Legend!$C$10:$C$26,"NOT FOUND",0,1))</f>
        <v/>
      </c>
      <c r="F740" s="160" t="str">
        <f>IF(C740="","",_xlfn.XLOOKUP(D740,Legend!$A$29:$A$118,Legend!$B$29:$B$118,"NOT FOUND",0,1))</f>
        <v/>
      </c>
      <c r="G740" s="268" t="str">
        <f>IF(C740="","",_xlfn.XLOOKUP(D740,Legend!$A$29:$A$118,Legend!$C$29:$C$118,"NOT FOUND",0,1))</f>
        <v/>
      </c>
    </row>
    <row r="741" spans="1:7" x14ac:dyDescent="0.2">
      <c r="A741" s="3">
        <v>1</v>
      </c>
      <c r="C741" s="3" t="str">
        <f>IF(B741="","",IF(ISNUMBER(VALUE(_xlfn.TEXTBEFORE(B741," "))),_xlfn.XLOOKUP(VALUE(_xlfn.TEXTBEFORE(B741," ")),Legend!$B$11:$B$26,Legend!$A$11:$A$26,"NOT FOUND",0,1),_xlfn.TEXTBEFORE(B741," ")))</f>
        <v/>
      </c>
      <c r="D741" s="3" t="str">
        <f t="shared" si="13"/>
        <v/>
      </c>
      <c r="E741" s="159" t="str">
        <f>IF(C741="","",_xlfn.XLOOKUP(C741,Legend!$A$10:$A$26,Legend!$C$10:$C$26,"NOT FOUND",0,1))</f>
        <v/>
      </c>
      <c r="F741" s="160" t="str">
        <f>IF(C741="","",_xlfn.XLOOKUP(D741,Legend!$A$29:$A$118,Legend!$B$29:$B$118,"NOT FOUND",0,1))</f>
        <v/>
      </c>
      <c r="G741" s="268" t="str">
        <f>IF(C741="","",_xlfn.XLOOKUP(D741,Legend!$A$29:$A$118,Legend!$C$29:$C$118,"NOT FOUND",0,1))</f>
        <v/>
      </c>
    </row>
    <row r="742" spans="1:7" x14ac:dyDescent="0.2">
      <c r="A742" s="3">
        <v>1</v>
      </c>
      <c r="C742" s="3" t="str">
        <f>IF(B742="","",IF(ISNUMBER(VALUE(_xlfn.TEXTBEFORE(B742," "))),_xlfn.XLOOKUP(VALUE(_xlfn.TEXTBEFORE(B742," ")),Legend!$B$11:$B$26,Legend!$A$11:$A$26,"NOT FOUND",0,1),_xlfn.TEXTBEFORE(B742," ")))</f>
        <v/>
      </c>
      <c r="D742" s="3" t="str">
        <f t="shared" si="13"/>
        <v/>
      </c>
      <c r="E742" s="159" t="str">
        <f>IF(C742="","",_xlfn.XLOOKUP(C742,Legend!$A$10:$A$26,Legend!$C$10:$C$26,"NOT FOUND",0,1))</f>
        <v/>
      </c>
      <c r="F742" s="160" t="str">
        <f>IF(C742="","",_xlfn.XLOOKUP(D742,Legend!$A$29:$A$118,Legend!$B$29:$B$118,"NOT FOUND",0,1))</f>
        <v/>
      </c>
      <c r="G742" s="268" t="str">
        <f>IF(C742="","",_xlfn.XLOOKUP(D742,Legend!$A$29:$A$118,Legend!$C$29:$C$118,"NOT FOUND",0,1))</f>
        <v/>
      </c>
    </row>
    <row r="743" spans="1:7" x14ac:dyDescent="0.2">
      <c r="A743" s="3">
        <v>1</v>
      </c>
      <c r="C743" s="3" t="str">
        <f>IF(B743="","",IF(ISNUMBER(VALUE(_xlfn.TEXTBEFORE(B743," "))),_xlfn.XLOOKUP(VALUE(_xlfn.TEXTBEFORE(B743," ")),Legend!$B$11:$B$26,Legend!$A$11:$A$26,"NOT FOUND",0,1),_xlfn.TEXTBEFORE(B743," ")))</f>
        <v/>
      </c>
      <c r="D743" s="3" t="str">
        <f t="shared" si="13"/>
        <v/>
      </c>
      <c r="E743" s="159" t="str">
        <f>IF(C743="","",_xlfn.XLOOKUP(C743,Legend!$A$10:$A$26,Legend!$C$10:$C$26,"NOT FOUND",0,1))</f>
        <v/>
      </c>
      <c r="F743" s="160" t="str">
        <f>IF(C743="","",_xlfn.XLOOKUP(D743,Legend!$A$29:$A$118,Legend!$B$29:$B$118,"NOT FOUND",0,1))</f>
        <v/>
      </c>
      <c r="G743" s="268" t="str">
        <f>IF(C743="","",_xlfn.XLOOKUP(D743,Legend!$A$29:$A$118,Legend!$C$29:$C$118,"NOT FOUND",0,1))</f>
        <v/>
      </c>
    </row>
    <row r="744" spans="1:7" x14ac:dyDescent="0.2">
      <c r="A744" s="3">
        <v>1</v>
      </c>
      <c r="C744" s="3" t="str">
        <f>IF(B744="","",IF(ISNUMBER(VALUE(_xlfn.TEXTBEFORE(B744," "))),_xlfn.XLOOKUP(VALUE(_xlfn.TEXTBEFORE(B744," ")),Legend!$B$11:$B$26,Legend!$A$11:$A$26,"NOT FOUND",0,1),_xlfn.TEXTBEFORE(B744," ")))</f>
        <v/>
      </c>
      <c r="D744" s="3" t="str">
        <f t="shared" si="13"/>
        <v/>
      </c>
      <c r="E744" s="159" t="str">
        <f>IF(C744="","",_xlfn.XLOOKUP(C744,Legend!$A$10:$A$26,Legend!$C$10:$C$26,"NOT FOUND",0,1))</f>
        <v/>
      </c>
      <c r="F744" s="160" t="str">
        <f>IF(C744="","",_xlfn.XLOOKUP(D744,Legend!$A$29:$A$118,Legend!$B$29:$B$118,"NOT FOUND",0,1))</f>
        <v/>
      </c>
      <c r="G744" s="268" t="str">
        <f>IF(C744="","",_xlfn.XLOOKUP(D744,Legend!$A$29:$A$118,Legend!$C$29:$C$118,"NOT FOUND",0,1))</f>
        <v/>
      </c>
    </row>
    <row r="745" spans="1:7" x14ac:dyDescent="0.2">
      <c r="A745" s="3">
        <v>1</v>
      </c>
      <c r="C745" s="3" t="str">
        <f>IF(B745="","",IF(ISNUMBER(VALUE(_xlfn.TEXTBEFORE(B745," "))),_xlfn.XLOOKUP(VALUE(_xlfn.TEXTBEFORE(B745," ")),Legend!$B$11:$B$26,Legend!$A$11:$A$26,"NOT FOUND",0,1),_xlfn.TEXTBEFORE(B745," ")))</f>
        <v/>
      </c>
      <c r="D745" s="3" t="str">
        <f t="shared" si="13"/>
        <v/>
      </c>
      <c r="E745" s="159" t="str">
        <f>IF(C745="","",_xlfn.XLOOKUP(C745,Legend!$A$10:$A$26,Legend!$C$10:$C$26,"NOT FOUND",0,1))</f>
        <v/>
      </c>
      <c r="F745" s="160" t="str">
        <f>IF(C745="","",_xlfn.XLOOKUP(D745,Legend!$A$29:$A$118,Legend!$B$29:$B$118,"NOT FOUND",0,1))</f>
        <v/>
      </c>
      <c r="G745" s="268" t="str">
        <f>IF(C745="","",_xlfn.XLOOKUP(D745,Legend!$A$29:$A$118,Legend!$C$29:$C$118,"NOT FOUND",0,1))</f>
        <v/>
      </c>
    </row>
    <row r="746" spans="1:7" x14ac:dyDescent="0.2">
      <c r="A746" s="3">
        <v>1</v>
      </c>
      <c r="C746" s="3" t="str">
        <f>IF(B746="","",IF(ISNUMBER(VALUE(_xlfn.TEXTBEFORE(B746," "))),_xlfn.XLOOKUP(VALUE(_xlfn.TEXTBEFORE(B746," ")),Legend!$B$11:$B$26,Legend!$A$11:$A$26,"NOT FOUND",0,1),_xlfn.TEXTBEFORE(B746," ")))</f>
        <v/>
      </c>
      <c r="D746" s="3" t="str">
        <f t="shared" si="13"/>
        <v/>
      </c>
      <c r="E746" s="159" t="str">
        <f>IF(C746="","",_xlfn.XLOOKUP(C746,Legend!$A$10:$A$26,Legend!$C$10:$C$26,"NOT FOUND",0,1))</f>
        <v/>
      </c>
      <c r="F746" s="160" t="str">
        <f>IF(C746="","",_xlfn.XLOOKUP(D746,Legend!$A$29:$A$118,Legend!$B$29:$B$118,"NOT FOUND",0,1))</f>
        <v/>
      </c>
      <c r="G746" s="268" t="str">
        <f>IF(C746="","",_xlfn.XLOOKUP(D746,Legend!$A$29:$A$118,Legend!$C$29:$C$118,"NOT FOUND",0,1))</f>
        <v/>
      </c>
    </row>
    <row r="747" spans="1:7" x14ac:dyDescent="0.2">
      <c r="A747" s="3">
        <v>1</v>
      </c>
      <c r="C747" s="3" t="str">
        <f>IF(B747="","",IF(ISNUMBER(VALUE(_xlfn.TEXTBEFORE(B747," "))),_xlfn.XLOOKUP(VALUE(_xlfn.TEXTBEFORE(B747," ")),Legend!$B$11:$B$26,Legend!$A$11:$A$26,"NOT FOUND",0,1),_xlfn.TEXTBEFORE(B747," ")))</f>
        <v/>
      </c>
      <c r="D747" s="3" t="str">
        <f t="shared" si="13"/>
        <v/>
      </c>
      <c r="E747" s="159" t="str">
        <f>IF(C747="","",_xlfn.XLOOKUP(C747,Legend!$A$10:$A$26,Legend!$C$10:$C$26,"NOT FOUND",0,1))</f>
        <v/>
      </c>
      <c r="F747" s="160" t="str">
        <f>IF(C747="","",_xlfn.XLOOKUP(D747,Legend!$A$29:$A$118,Legend!$B$29:$B$118,"NOT FOUND",0,1))</f>
        <v/>
      </c>
      <c r="G747" s="268" t="str">
        <f>IF(C747="","",_xlfn.XLOOKUP(D747,Legend!$A$29:$A$118,Legend!$C$29:$C$118,"NOT FOUND",0,1))</f>
        <v/>
      </c>
    </row>
    <row r="748" spans="1:7" x14ac:dyDescent="0.2">
      <c r="A748" s="3">
        <v>1</v>
      </c>
      <c r="C748" s="3" t="str">
        <f>IF(B748="","",IF(ISNUMBER(VALUE(_xlfn.TEXTBEFORE(B748," "))),_xlfn.XLOOKUP(VALUE(_xlfn.TEXTBEFORE(B748," ")),Legend!$B$11:$B$26,Legend!$A$11:$A$26,"NOT FOUND",0,1),_xlfn.TEXTBEFORE(B748," ")))</f>
        <v/>
      </c>
      <c r="D748" s="3" t="str">
        <f t="shared" si="13"/>
        <v/>
      </c>
      <c r="E748" s="159" t="str">
        <f>IF(C748="","",_xlfn.XLOOKUP(C748,Legend!$A$10:$A$26,Legend!$C$10:$C$26,"NOT FOUND",0,1))</f>
        <v/>
      </c>
      <c r="F748" s="160" t="str">
        <f>IF(C748="","",_xlfn.XLOOKUP(D748,Legend!$A$29:$A$118,Legend!$B$29:$B$118,"NOT FOUND",0,1))</f>
        <v/>
      </c>
      <c r="G748" s="268" t="str">
        <f>IF(C748="","",_xlfn.XLOOKUP(D748,Legend!$A$29:$A$118,Legend!$C$29:$C$118,"NOT FOUND",0,1))</f>
        <v/>
      </c>
    </row>
    <row r="749" spans="1:7" x14ac:dyDescent="0.2">
      <c r="A749" s="3">
        <v>1</v>
      </c>
      <c r="C749" s="3" t="str">
        <f>IF(B749="","",IF(ISNUMBER(VALUE(_xlfn.TEXTBEFORE(B749," "))),_xlfn.XLOOKUP(VALUE(_xlfn.TEXTBEFORE(B749," ")),Legend!$B$11:$B$26,Legend!$A$11:$A$26,"NOT FOUND",0,1),_xlfn.TEXTBEFORE(B749," ")))</f>
        <v/>
      </c>
      <c r="D749" s="3" t="str">
        <f t="shared" si="13"/>
        <v/>
      </c>
      <c r="E749" s="159" t="str">
        <f>IF(C749="","",_xlfn.XLOOKUP(C749,Legend!$A$10:$A$26,Legend!$C$10:$C$26,"NOT FOUND",0,1))</f>
        <v/>
      </c>
      <c r="F749" s="160" t="str">
        <f>IF(C749="","",_xlfn.XLOOKUP(D749,Legend!$A$29:$A$118,Legend!$B$29:$B$118,"NOT FOUND",0,1))</f>
        <v/>
      </c>
      <c r="G749" s="268" t="str">
        <f>IF(C749="","",_xlfn.XLOOKUP(D749,Legend!$A$29:$A$118,Legend!$C$29:$C$118,"NOT FOUND",0,1))</f>
        <v/>
      </c>
    </row>
    <row r="750" spans="1:7" x14ac:dyDescent="0.2">
      <c r="A750" s="3">
        <v>1</v>
      </c>
      <c r="C750" s="3" t="str">
        <f>IF(B750="","",IF(ISNUMBER(VALUE(_xlfn.TEXTBEFORE(B750," "))),_xlfn.XLOOKUP(VALUE(_xlfn.TEXTBEFORE(B750," ")),Legend!$B$11:$B$26,Legend!$A$11:$A$26,"NOT FOUND",0,1),_xlfn.TEXTBEFORE(B750," ")))</f>
        <v/>
      </c>
      <c r="D750" s="3" t="str">
        <f t="shared" si="13"/>
        <v/>
      </c>
      <c r="E750" s="159" t="str">
        <f>IF(C750="","",_xlfn.XLOOKUP(C750,Legend!$A$10:$A$26,Legend!$C$10:$C$26,"NOT FOUND",0,1))</f>
        <v/>
      </c>
      <c r="F750" s="160" t="str">
        <f>IF(C750="","",_xlfn.XLOOKUP(D750,Legend!$A$29:$A$118,Legend!$B$29:$B$118,"NOT FOUND",0,1))</f>
        <v/>
      </c>
      <c r="G750" s="268" t="str">
        <f>IF(C750="","",_xlfn.XLOOKUP(D750,Legend!$A$29:$A$118,Legend!$C$29:$C$118,"NOT FOUND",0,1))</f>
        <v/>
      </c>
    </row>
    <row r="751" spans="1:7" x14ac:dyDescent="0.2">
      <c r="A751" s="3">
        <v>1</v>
      </c>
      <c r="C751" s="3" t="str">
        <f>IF(B751="","",IF(ISNUMBER(VALUE(_xlfn.TEXTBEFORE(B751," "))),_xlfn.XLOOKUP(VALUE(_xlfn.TEXTBEFORE(B751," ")),Legend!$B$11:$B$26,Legend!$A$11:$A$26,"NOT FOUND",0,1),_xlfn.TEXTBEFORE(B751," ")))</f>
        <v/>
      </c>
      <c r="D751" s="3" t="str">
        <f t="shared" si="13"/>
        <v/>
      </c>
      <c r="E751" s="159" t="str">
        <f>IF(C751="","",_xlfn.XLOOKUP(C751,Legend!$A$10:$A$26,Legend!$C$10:$C$26,"NOT FOUND",0,1))</f>
        <v/>
      </c>
      <c r="F751" s="160" t="str">
        <f>IF(C751="","",_xlfn.XLOOKUP(D751,Legend!$A$29:$A$118,Legend!$B$29:$B$118,"NOT FOUND",0,1))</f>
        <v/>
      </c>
      <c r="G751" s="268" t="str">
        <f>IF(C751="","",_xlfn.XLOOKUP(D751,Legend!$A$29:$A$118,Legend!$C$29:$C$118,"NOT FOUND",0,1))</f>
        <v/>
      </c>
    </row>
    <row r="752" spans="1:7" x14ac:dyDescent="0.2">
      <c r="A752" s="3">
        <v>1</v>
      </c>
      <c r="C752" s="3" t="str">
        <f>IF(B752="","",IF(ISNUMBER(VALUE(_xlfn.TEXTBEFORE(B752," "))),_xlfn.XLOOKUP(VALUE(_xlfn.TEXTBEFORE(B752," ")),Legend!$B$11:$B$26,Legend!$A$11:$A$26,"NOT FOUND",0,1),_xlfn.TEXTBEFORE(B752," ")))</f>
        <v/>
      </c>
      <c r="D752" s="3" t="str">
        <f t="shared" si="13"/>
        <v/>
      </c>
      <c r="E752" s="159" t="str">
        <f>IF(C752="","",_xlfn.XLOOKUP(C752,Legend!$A$10:$A$26,Legend!$C$10:$C$26,"NOT FOUND",0,1))</f>
        <v/>
      </c>
      <c r="F752" s="160" t="str">
        <f>IF(C752="","",_xlfn.XLOOKUP(D752,Legend!$A$29:$A$118,Legend!$B$29:$B$118,"NOT FOUND",0,1))</f>
        <v/>
      </c>
      <c r="G752" s="268" t="str">
        <f>IF(C752="","",_xlfn.XLOOKUP(D752,Legend!$A$29:$A$118,Legend!$C$29:$C$118,"NOT FOUND",0,1))</f>
        <v/>
      </c>
    </row>
    <row r="753" spans="1:7" x14ac:dyDescent="0.2">
      <c r="A753" s="3">
        <v>1</v>
      </c>
      <c r="C753" s="3" t="str">
        <f>IF(B753="","",IF(ISNUMBER(VALUE(_xlfn.TEXTBEFORE(B753," "))),_xlfn.XLOOKUP(VALUE(_xlfn.TEXTBEFORE(B753," ")),Legend!$B$11:$B$26,Legend!$A$11:$A$26,"NOT FOUND",0,1),_xlfn.TEXTBEFORE(B753," ")))</f>
        <v/>
      </c>
      <c r="D753" s="3" t="str">
        <f t="shared" si="13"/>
        <v/>
      </c>
      <c r="E753" s="159" t="str">
        <f>IF(C753="","",_xlfn.XLOOKUP(C753,Legend!$A$10:$A$26,Legend!$C$10:$C$26,"NOT FOUND",0,1))</f>
        <v/>
      </c>
      <c r="F753" s="160" t="str">
        <f>IF(C753="","",_xlfn.XLOOKUP(D753,Legend!$A$29:$A$118,Legend!$B$29:$B$118,"NOT FOUND",0,1))</f>
        <v/>
      </c>
      <c r="G753" s="268" t="str">
        <f>IF(C753="","",_xlfn.XLOOKUP(D753,Legend!$A$29:$A$118,Legend!$C$29:$C$118,"NOT FOUND",0,1))</f>
        <v/>
      </c>
    </row>
    <row r="754" spans="1:7" x14ac:dyDescent="0.2">
      <c r="A754" s="3">
        <v>1</v>
      </c>
      <c r="C754" s="3" t="str">
        <f>IF(B754="","",IF(ISNUMBER(VALUE(_xlfn.TEXTBEFORE(B754," "))),_xlfn.XLOOKUP(VALUE(_xlfn.TEXTBEFORE(B754," ")),Legend!$B$11:$B$26,Legend!$A$11:$A$26,"NOT FOUND",0,1),_xlfn.TEXTBEFORE(B754," ")))</f>
        <v/>
      </c>
      <c r="D754" s="3" t="str">
        <f t="shared" si="13"/>
        <v/>
      </c>
      <c r="E754" s="159" t="str">
        <f>IF(C754="","",_xlfn.XLOOKUP(C754,Legend!$A$10:$A$26,Legend!$C$10:$C$26,"NOT FOUND",0,1))</f>
        <v/>
      </c>
      <c r="F754" s="160" t="str">
        <f>IF(C754="","",_xlfn.XLOOKUP(D754,Legend!$A$29:$A$118,Legend!$B$29:$B$118,"NOT FOUND",0,1))</f>
        <v/>
      </c>
      <c r="G754" s="268" t="str">
        <f>IF(C754="","",_xlfn.XLOOKUP(D754,Legend!$A$29:$A$118,Legend!$C$29:$C$118,"NOT FOUND",0,1))</f>
        <v/>
      </c>
    </row>
    <row r="755" spans="1:7" x14ac:dyDescent="0.2">
      <c r="A755" s="3">
        <v>1</v>
      </c>
      <c r="C755" s="3" t="str">
        <f>IF(B755="","",IF(ISNUMBER(VALUE(_xlfn.TEXTBEFORE(B755," "))),_xlfn.XLOOKUP(VALUE(_xlfn.TEXTBEFORE(B755," ")),Legend!$B$11:$B$26,Legend!$A$11:$A$26,"NOT FOUND",0,1),_xlfn.TEXTBEFORE(B755," ")))</f>
        <v/>
      </c>
      <c r="D755" s="3" t="str">
        <f t="shared" si="13"/>
        <v/>
      </c>
      <c r="E755" s="159" t="str">
        <f>IF(C755="","",_xlfn.XLOOKUP(C755,Legend!$A$10:$A$26,Legend!$C$10:$C$26,"NOT FOUND",0,1))</f>
        <v/>
      </c>
      <c r="F755" s="160" t="str">
        <f>IF(C755="","",_xlfn.XLOOKUP(D755,Legend!$A$29:$A$118,Legend!$B$29:$B$118,"NOT FOUND",0,1))</f>
        <v/>
      </c>
      <c r="G755" s="268" t="str">
        <f>IF(C755="","",_xlfn.XLOOKUP(D755,Legend!$A$29:$A$118,Legend!$C$29:$C$118,"NOT FOUND",0,1))</f>
        <v/>
      </c>
    </row>
    <row r="756" spans="1:7" x14ac:dyDescent="0.2">
      <c r="A756" s="3">
        <v>1</v>
      </c>
      <c r="C756" s="3" t="str">
        <f>IF(B756="","",IF(ISNUMBER(VALUE(_xlfn.TEXTBEFORE(B756," "))),_xlfn.XLOOKUP(VALUE(_xlfn.TEXTBEFORE(B756," ")),Legend!$B$11:$B$26,Legend!$A$11:$A$26,"NOT FOUND",0,1),_xlfn.TEXTBEFORE(B756," ")))</f>
        <v/>
      </c>
      <c r="D756" s="3" t="str">
        <f t="shared" si="13"/>
        <v/>
      </c>
      <c r="E756" s="159" t="str">
        <f>IF(C756="","",_xlfn.XLOOKUP(C756,Legend!$A$10:$A$26,Legend!$C$10:$C$26,"NOT FOUND",0,1))</f>
        <v/>
      </c>
      <c r="F756" s="160" t="str">
        <f>IF(C756="","",_xlfn.XLOOKUP(D756,Legend!$A$29:$A$118,Legend!$B$29:$B$118,"NOT FOUND",0,1))</f>
        <v/>
      </c>
      <c r="G756" s="268" t="str">
        <f>IF(C756="","",_xlfn.XLOOKUP(D756,Legend!$A$29:$A$118,Legend!$C$29:$C$118,"NOT FOUND",0,1))</f>
        <v/>
      </c>
    </row>
    <row r="757" spans="1:7" x14ac:dyDescent="0.2">
      <c r="A757" s="3">
        <v>1</v>
      </c>
      <c r="C757" s="3" t="str">
        <f>IF(B757="","",IF(ISNUMBER(VALUE(_xlfn.TEXTBEFORE(B757," "))),_xlfn.XLOOKUP(VALUE(_xlfn.TEXTBEFORE(B757," ")),Legend!$B$11:$B$26,Legend!$A$11:$A$26,"NOT FOUND",0,1),_xlfn.TEXTBEFORE(B757," ")))</f>
        <v/>
      </c>
      <c r="D757" s="3" t="str">
        <f t="shared" si="13"/>
        <v/>
      </c>
      <c r="E757" s="159" t="str">
        <f>IF(C757="","",_xlfn.XLOOKUP(C757,Legend!$A$10:$A$26,Legend!$C$10:$C$26,"NOT FOUND",0,1))</f>
        <v/>
      </c>
      <c r="F757" s="160" t="str">
        <f>IF(C757="","",_xlfn.XLOOKUP(D757,Legend!$A$29:$A$118,Legend!$B$29:$B$118,"NOT FOUND",0,1))</f>
        <v/>
      </c>
      <c r="G757" s="268" t="str">
        <f>IF(C757="","",_xlfn.XLOOKUP(D757,Legend!$A$29:$A$118,Legend!$C$29:$C$118,"NOT FOUND",0,1))</f>
        <v/>
      </c>
    </row>
    <row r="758" spans="1:7" x14ac:dyDescent="0.2">
      <c r="A758" s="3">
        <v>1</v>
      </c>
      <c r="C758" s="3" t="str">
        <f>IF(B758="","",IF(ISNUMBER(VALUE(_xlfn.TEXTBEFORE(B758," "))),_xlfn.XLOOKUP(VALUE(_xlfn.TEXTBEFORE(B758," ")),Legend!$B$11:$B$26,Legend!$A$11:$A$26,"NOT FOUND",0,1),_xlfn.TEXTBEFORE(B758," ")))</f>
        <v/>
      </c>
      <c r="D758" s="3" t="str">
        <f t="shared" si="13"/>
        <v/>
      </c>
      <c r="E758" s="159" t="str">
        <f>IF(C758="","",_xlfn.XLOOKUP(C758,Legend!$A$10:$A$26,Legend!$C$10:$C$26,"NOT FOUND",0,1))</f>
        <v/>
      </c>
      <c r="F758" s="160" t="str">
        <f>IF(C758="","",_xlfn.XLOOKUP(D758,Legend!$A$29:$A$118,Legend!$B$29:$B$118,"NOT FOUND",0,1))</f>
        <v/>
      </c>
      <c r="G758" s="268" t="str">
        <f>IF(C758="","",_xlfn.XLOOKUP(D758,Legend!$A$29:$A$118,Legend!$C$29:$C$118,"NOT FOUND",0,1))</f>
        <v/>
      </c>
    </row>
    <row r="759" spans="1:7" x14ac:dyDescent="0.2">
      <c r="A759" s="3">
        <v>1</v>
      </c>
      <c r="C759" s="3" t="str">
        <f>IF(B759="","",IF(ISNUMBER(VALUE(_xlfn.TEXTBEFORE(B759," "))),_xlfn.XLOOKUP(VALUE(_xlfn.TEXTBEFORE(B759," ")),Legend!$B$11:$B$26,Legend!$A$11:$A$26,"NOT FOUND",0,1),_xlfn.TEXTBEFORE(B759," ")))</f>
        <v/>
      </c>
      <c r="D759" s="3" t="str">
        <f t="shared" si="13"/>
        <v/>
      </c>
      <c r="E759" s="159" t="str">
        <f>IF(C759="","",_xlfn.XLOOKUP(C759,Legend!$A$10:$A$26,Legend!$C$10:$C$26,"NOT FOUND",0,1))</f>
        <v/>
      </c>
      <c r="F759" s="160" t="str">
        <f>IF(C759="","",_xlfn.XLOOKUP(D759,Legend!$A$29:$A$118,Legend!$B$29:$B$118,"NOT FOUND",0,1))</f>
        <v/>
      </c>
      <c r="G759" s="268" t="str">
        <f>IF(C759="","",_xlfn.XLOOKUP(D759,Legend!$A$29:$A$118,Legend!$C$29:$C$118,"NOT FOUND",0,1))</f>
        <v/>
      </c>
    </row>
    <row r="760" spans="1:7" x14ac:dyDescent="0.2">
      <c r="A760" s="3">
        <v>1</v>
      </c>
      <c r="C760" s="3" t="str">
        <f>IF(B760="","",IF(ISNUMBER(VALUE(_xlfn.TEXTBEFORE(B760," "))),_xlfn.XLOOKUP(VALUE(_xlfn.TEXTBEFORE(B760," ")),Legend!$B$11:$B$26,Legend!$A$11:$A$26,"NOT FOUND",0,1),_xlfn.TEXTBEFORE(B760," ")))</f>
        <v/>
      </c>
      <c r="D760" s="3" t="str">
        <f t="shared" si="13"/>
        <v/>
      </c>
      <c r="E760" s="159" t="str">
        <f>IF(C760="","",_xlfn.XLOOKUP(C760,Legend!$A$10:$A$26,Legend!$C$10:$C$26,"NOT FOUND",0,1))</f>
        <v/>
      </c>
      <c r="F760" s="160" t="str">
        <f>IF(C760="","",_xlfn.XLOOKUP(D760,Legend!$A$29:$A$118,Legend!$B$29:$B$118,"NOT FOUND",0,1))</f>
        <v/>
      </c>
      <c r="G760" s="268" t="str">
        <f>IF(C760="","",_xlfn.XLOOKUP(D760,Legend!$A$29:$A$118,Legend!$C$29:$C$118,"NOT FOUND",0,1))</f>
        <v/>
      </c>
    </row>
    <row r="761" spans="1:7" x14ac:dyDescent="0.2">
      <c r="A761" s="3">
        <v>1</v>
      </c>
      <c r="C761" s="3" t="str">
        <f>IF(B761="","",IF(ISNUMBER(VALUE(_xlfn.TEXTBEFORE(B761," "))),_xlfn.XLOOKUP(VALUE(_xlfn.TEXTBEFORE(B761," ")),Legend!$B$11:$B$26,Legend!$A$11:$A$26,"NOT FOUND",0,1),_xlfn.TEXTBEFORE(B761," ")))</f>
        <v/>
      </c>
      <c r="D761" s="3" t="str">
        <f t="shared" si="13"/>
        <v/>
      </c>
      <c r="E761" s="159" t="str">
        <f>IF(C761="","",_xlfn.XLOOKUP(C761,Legend!$A$10:$A$26,Legend!$C$10:$C$26,"NOT FOUND",0,1))</f>
        <v/>
      </c>
      <c r="F761" s="160" t="str">
        <f>IF(C761="","",_xlfn.XLOOKUP(D761,Legend!$A$29:$A$118,Legend!$B$29:$B$118,"NOT FOUND",0,1))</f>
        <v/>
      </c>
      <c r="G761" s="268" t="str">
        <f>IF(C761="","",_xlfn.XLOOKUP(D761,Legend!$A$29:$A$118,Legend!$C$29:$C$118,"NOT FOUND",0,1))</f>
        <v/>
      </c>
    </row>
    <row r="762" spans="1:7" x14ac:dyDescent="0.2">
      <c r="A762" s="3">
        <v>1</v>
      </c>
      <c r="C762" s="3" t="str">
        <f>IF(B762="","",IF(ISNUMBER(VALUE(_xlfn.TEXTBEFORE(B762," "))),_xlfn.XLOOKUP(VALUE(_xlfn.TEXTBEFORE(B762," ")),Legend!$B$11:$B$26,Legend!$A$11:$A$26,"NOT FOUND",0,1),_xlfn.TEXTBEFORE(B762," ")))</f>
        <v/>
      </c>
      <c r="D762" s="3" t="str">
        <f t="shared" si="13"/>
        <v/>
      </c>
      <c r="E762" s="159" t="str">
        <f>IF(C762="","",_xlfn.XLOOKUP(C762,Legend!$A$10:$A$26,Legend!$C$10:$C$26,"NOT FOUND",0,1))</f>
        <v/>
      </c>
      <c r="F762" s="160" t="str">
        <f>IF(C762="","",_xlfn.XLOOKUP(D762,Legend!$A$29:$A$118,Legend!$B$29:$B$118,"NOT FOUND",0,1))</f>
        <v/>
      </c>
      <c r="G762" s="268" t="str">
        <f>IF(C762="","",_xlfn.XLOOKUP(D762,Legend!$A$29:$A$118,Legend!$C$29:$C$118,"NOT FOUND",0,1))</f>
        <v/>
      </c>
    </row>
    <row r="763" spans="1:7" x14ac:dyDescent="0.2">
      <c r="A763" s="3">
        <v>1</v>
      </c>
      <c r="C763" s="3" t="str">
        <f>IF(B763="","",IF(ISNUMBER(VALUE(_xlfn.TEXTBEFORE(B763," "))),_xlfn.XLOOKUP(VALUE(_xlfn.TEXTBEFORE(B763," ")),Legend!$B$11:$B$26,Legend!$A$11:$A$26,"NOT FOUND",0,1),_xlfn.TEXTBEFORE(B763," ")))</f>
        <v/>
      </c>
      <c r="D763" s="3" t="str">
        <f t="shared" si="13"/>
        <v/>
      </c>
      <c r="E763" s="159" t="str">
        <f>IF(C763="","",_xlfn.XLOOKUP(C763,Legend!$A$10:$A$26,Legend!$C$10:$C$26,"NOT FOUND",0,1))</f>
        <v/>
      </c>
      <c r="F763" s="160" t="str">
        <f>IF(C763="","",_xlfn.XLOOKUP(D763,Legend!$A$29:$A$118,Legend!$B$29:$B$118,"NOT FOUND",0,1))</f>
        <v/>
      </c>
      <c r="G763" s="268" t="str">
        <f>IF(C763="","",_xlfn.XLOOKUP(D763,Legend!$A$29:$A$118,Legend!$C$29:$C$118,"NOT FOUND",0,1))</f>
        <v/>
      </c>
    </row>
    <row r="764" spans="1:7" x14ac:dyDescent="0.2">
      <c r="A764" s="3">
        <v>1</v>
      </c>
      <c r="C764" s="3" t="str">
        <f>IF(B764="","",IF(ISNUMBER(VALUE(_xlfn.TEXTBEFORE(B764," "))),_xlfn.XLOOKUP(VALUE(_xlfn.TEXTBEFORE(B764," ")),Legend!$B$11:$B$26,Legend!$A$11:$A$26,"NOT FOUND",0,1),_xlfn.TEXTBEFORE(B764," ")))</f>
        <v/>
      </c>
      <c r="D764" s="3" t="str">
        <f t="shared" si="13"/>
        <v/>
      </c>
      <c r="E764" s="159" t="str">
        <f>IF(C764="","",_xlfn.XLOOKUP(C764,Legend!$A$10:$A$26,Legend!$C$10:$C$26,"NOT FOUND",0,1))</f>
        <v/>
      </c>
      <c r="F764" s="160" t="str">
        <f>IF(C764="","",_xlfn.XLOOKUP(D764,Legend!$A$29:$A$118,Legend!$B$29:$B$118,"NOT FOUND",0,1))</f>
        <v/>
      </c>
      <c r="G764" s="268" t="str">
        <f>IF(C764="","",_xlfn.XLOOKUP(D764,Legend!$A$29:$A$118,Legend!$C$29:$C$118,"NOT FOUND",0,1))</f>
        <v/>
      </c>
    </row>
    <row r="765" spans="1:7" x14ac:dyDescent="0.2">
      <c r="A765" s="3">
        <v>1</v>
      </c>
      <c r="C765" s="3" t="str">
        <f>IF(B765="","",IF(ISNUMBER(VALUE(_xlfn.TEXTBEFORE(B765," "))),_xlfn.XLOOKUP(VALUE(_xlfn.TEXTBEFORE(B765," ")),Legend!$B$11:$B$26,Legend!$A$11:$A$26,"NOT FOUND",0,1),_xlfn.TEXTBEFORE(B765," ")))</f>
        <v/>
      </c>
      <c r="D765" s="3" t="str">
        <f t="shared" si="13"/>
        <v/>
      </c>
      <c r="E765" s="159" t="str">
        <f>IF(C765="","",_xlfn.XLOOKUP(C765,Legend!$A$10:$A$26,Legend!$C$10:$C$26,"NOT FOUND",0,1))</f>
        <v/>
      </c>
      <c r="F765" s="160" t="str">
        <f>IF(C765="","",_xlfn.XLOOKUP(D765,Legend!$A$29:$A$118,Legend!$B$29:$B$118,"NOT FOUND",0,1))</f>
        <v/>
      </c>
      <c r="G765" s="268" t="str">
        <f>IF(C765="","",_xlfn.XLOOKUP(D765,Legend!$A$29:$A$118,Legend!$C$29:$C$118,"NOT FOUND",0,1))</f>
        <v/>
      </c>
    </row>
    <row r="766" spans="1:7" x14ac:dyDescent="0.2">
      <c r="A766" s="3">
        <v>1</v>
      </c>
      <c r="C766" s="3" t="str">
        <f>IF(B766="","",IF(ISNUMBER(VALUE(_xlfn.TEXTBEFORE(B766," "))),_xlfn.XLOOKUP(VALUE(_xlfn.TEXTBEFORE(B766," ")),Legend!$B$11:$B$26,Legend!$A$11:$A$26,"NOT FOUND",0,1),_xlfn.TEXTBEFORE(B766," ")))</f>
        <v/>
      </c>
      <c r="D766" s="3" t="str">
        <f t="shared" si="13"/>
        <v/>
      </c>
      <c r="E766" s="159" t="str">
        <f>IF(C766="","",_xlfn.XLOOKUP(C766,Legend!$A$10:$A$26,Legend!$C$10:$C$26,"NOT FOUND",0,1))</f>
        <v/>
      </c>
      <c r="F766" s="160" t="str">
        <f>IF(C766="","",_xlfn.XLOOKUP(D766,Legend!$A$29:$A$118,Legend!$B$29:$B$118,"NOT FOUND",0,1))</f>
        <v/>
      </c>
      <c r="G766" s="268" t="str">
        <f>IF(C766="","",_xlfn.XLOOKUP(D766,Legend!$A$29:$A$118,Legend!$C$29:$C$118,"NOT FOUND",0,1))</f>
        <v/>
      </c>
    </row>
    <row r="767" spans="1:7" x14ac:dyDescent="0.2">
      <c r="A767" s="3">
        <v>1</v>
      </c>
      <c r="C767" s="3" t="str">
        <f>IF(B767="","",IF(ISNUMBER(VALUE(_xlfn.TEXTBEFORE(B767," "))),_xlfn.XLOOKUP(VALUE(_xlfn.TEXTBEFORE(B767," ")),Legend!$B$11:$B$26,Legend!$A$11:$A$26,"NOT FOUND",0,1),_xlfn.TEXTBEFORE(B767," ")))</f>
        <v/>
      </c>
      <c r="D767" s="3" t="str">
        <f t="shared" si="13"/>
        <v/>
      </c>
      <c r="E767" s="159" t="str">
        <f>IF(C767="","",_xlfn.XLOOKUP(C767,Legend!$A$10:$A$26,Legend!$C$10:$C$26,"NOT FOUND",0,1))</f>
        <v/>
      </c>
      <c r="F767" s="160" t="str">
        <f>IF(C767="","",_xlfn.XLOOKUP(D767,Legend!$A$29:$A$118,Legend!$B$29:$B$118,"NOT FOUND",0,1))</f>
        <v/>
      </c>
      <c r="G767" s="268" t="str">
        <f>IF(C767="","",_xlfn.XLOOKUP(D767,Legend!$A$29:$A$118,Legend!$C$29:$C$118,"NOT FOUND",0,1))</f>
        <v/>
      </c>
    </row>
    <row r="768" spans="1:7" x14ac:dyDescent="0.2">
      <c r="A768" s="3">
        <v>1</v>
      </c>
      <c r="C768" s="3" t="str">
        <f>IF(B768="","",IF(ISNUMBER(VALUE(_xlfn.TEXTBEFORE(B768," "))),_xlfn.XLOOKUP(VALUE(_xlfn.TEXTBEFORE(B768," ")),Legend!$B$11:$B$26,Legend!$A$11:$A$26,"NOT FOUND",0,1),_xlfn.TEXTBEFORE(B768," ")))</f>
        <v/>
      </c>
      <c r="D768" s="3" t="str">
        <f t="shared" si="13"/>
        <v/>
      </c>
      <c r="E768" s="159" t="str">
        <f>IF(C768="","",_xlfn.XLOOKUP(C768,Legend!$A$10:$A$26,Legend!$C$10:$C$26,"NOT FOUND",0,1))</f>
        <v/>
      </c>
      <c r="F768" s="160" t="str">
        <f>IF(C768="","",_xlfn.XLOOKUP(D768,Legend!$A$29:$A$118,Legend!$B$29:$B$118,"NOT FOUND",0,1))</f>
        <v/>
      </c>
      <c r="G768" s="268" t="str">
        <f>IF(C768="","",_xlfn.XLOOKUP(D768,Legend!$A$29:$A$118,Legend!$C$29:$C$118,"NOT FOUND",0,1))</f>
        <v/>
      </c>
    </row>
    <row r="769" spans="1:7" x14ac:dyDescent="0.2">
      <c r="A769" s="3">
        <v>1</v>
      </c>
      <c r="C769" s="3" t="str">
        <f>IF(B769="","",IF(ISNUMBER(VALUE(_xlfn.TEXTBEFORE(B769," "))),_xlfn.XLOOKUP(VALUE(_xlfn.TEXTBEFORE(B769," ")),Legend!$B$11:$B$26,Legend!$A$11:$A$26,"NOT FOUND",0,1),_xlfn.TEXTBEFORE(B769," ")))</f>
        <v/>
      </c>
      <c r="D769" s="3" t="str">
        <f t="shared" si="13"/>
        <v/>
      </c>
      <c r="E769" s="159" t="str">
        <f>IF(C769="","",_xlfn.XLOOKUP(C769,Legend!$A$10:$A$26,Legend!$C$10:$C$26,"NOT FOUND",0,1))</f>
        <v/>
      </c>
      <c r="F769" s="160" t="str">
        <f>IF(C769="","",_xlfn.XLOOKUP(D769,Legend!$A$29:$A$118,Legend!$B$29:$B$118,"NOT FOUND",0,1))</f>
        <v/>
      </c>
      <c r="G769" s="268" t="str">
        <f>IF(C769="","",_xlfn.XLOOKUP(D769,Legend!$A$29:$A$118,Legend!$C$29:$C$118,"NOT FOUND",0,1))</f>
        <v/>
      </c>
    </row>
    <row r="770" spans="1:7" x14ac:dyDescent="0.2">
      <c r="A770" s="3">
        <v>1</v>
      </c>
      <c r="C770" s="3" t="str">
        <f>IF(B770="","",IF(ISNUMBER(VALUE(_xlfn.TEXTBEFORE(B770," "))),_xlfn.XLOOKUP(VALUE(_xlfn.TEXTBEFORE(B770," ")),Legend!$B$11:$B$26,Legend!$A$11:$A$26,"NOT FOUND",0,1),_xlfn.TEXTBEFORE(B770," ")))</f>
        <v/>
      </c>
      <c r="D770" s="3" t="str">
        <f t="shared" si="13"/>
        <v/>
      </c>
      <c r="E770" s="159" t="str">
        <f>IF(C770="","",_xlfn.XLOOKUP(C770,Legend!$A$10:$A$26,Legend!$C$10:$C$26,"NOT FOUND",0,1))</f>
        <v/>
      </c>
      <c r="F770" s="160" t="str">
        <f>IF(C770="","",_xlfn.XLOOKUP(D770,Legend!$A$29:$A$118,Legend!$B$29:$B$118,"NOT FOUND",0,1))</f>
        <v/>
      </c>
      <c r="G770" s="268" t="str">
        <f>IF(C770="","",_xlfn.XLOOKUP(D770,Legend!$A$29:$A$118,Legend!$C$29:$C$118,"NOT FOUND",0,1))</f>
        <v/>
      </c>
    </row>
    <row r="771" spans="1:7" x14ac:dyDescent="0.2">
      <c r="A771" s="3">
        <v>1</v>
      </c>
      <c r="C771" s="3" t="str">
        <f>IF(B771="","",IF(ISNUMBER(VALUE(_xlfn.TEXTBEFORE(B771," "))),_xlfn.XLOOKUP(VALUE(_xlfn.TEXTBEFORE(B771," ")),Legend!$B$11:$B$26,Legend!$A$11:$A$26,"NOT FOUND",0,1),_xlfn.TEXTBEFORE(B771," ")))</f>
        <v/>
      </c>
      <c r="D771" s="3" t="str">
        <f t="shared" si="13"/>
        <v/>
      </c>
      <c r="E771" s="159" t="str">
        <f>IF(C771="","",_xlfn.XLOOKUP(C771,Legend!$A$10:$A$26,Legend!$C$10:$C$26,"NOT FOUND",0,1))</f>
        <v/>
      </c>
      <c r="F771" s="160" t="str">
        <f>IF(C771="","",_xlfn.XLOOKUP(D771,Legend!$A$29:$A$118,Legend!$B$29:$B$118,"NOT FOUND",0,1))</f>
        <v/>
      </c>
      <c r="G771" s="268" t="str">
        <f>IF(C771="","",_xlfn.XLOOKUP(D771,Legend!$A$29:$A$118,Legend!$C$29:$C$118,"NOT FOUND",0,1))</f>
        <v/>
      </c>
    </row>
    <row r="772" spans="1:7" x14ac:dyDescent="0.2">
      <c r="A772" s="3">
        <v>1</v>
      </c>
      <c r="C772" s="3" t="str">
        <f>IF(B772="","",IF(ISNUMBER(VALUE(_xlfn.TEXTBEFORE(B772," "))),_xlfn.XLOOKUP(VALUE(_xlfn.TEXTBEFORE(B772," ")),Legend!$B$11:$B$26,Legend!$A$11:$A$26,"NOT FOUND",0,1),_xlfn.TEXTBEFORE(B772," ")))</f>
        <v/>
      </c>
      <c r="D772" s="3" t="str">
        <f t="shared" si="13"/>
        <v/>
      </c>
      <c r="E772" s="159" t="str">
        <f>IF(C772="","",_xlfn.XLOOKUP(C772,Legend!$A$10:$A$26,Legend!$C$10:$C$26,"NOT FOUND",0,1))</f>
        <v/>
      </c>
      <c r="F772" s="160" t="str">
        <f>IF(C772="","",_xlfn.XLOOKUP(D772,Legend!$A$29:$A$118,Legend!$B$29:$B$118,"NOT FOUND",0,1))</f>
        <v/>
      </c>
      <c r="G772" s="268" t="str">
        <f>IF(C772="","",_xlfn.XLOOKUP(D772,Legend!$A$29:$A$118,Legend!$C$29:$C$118,"NOT FOUND",0,1))</f>
        <v/>
      </c>
    </row>
    <row r="773" spans="1:7" x14ac:dyDescent="0.2">
      <c r="A773" s="3">
        <v>1</v>
      </c>
      <c r="C773" s="3" t="str">
        <f>IF(B773="","",IF(ISNUMBER(VALUE(_xlfn.TEXTBEFORE(B773," "))),_xlfn.XLOOKUP(VALUE(_xlfn.TEXTBEFORE(B773," ")),Legend!$B$11:$B$26,Legend!$A$11:$A$26,"NOT FOUND",0,1),_xlfn.TEXTBEFORE(B773," ")))</f>
        <v/>
      </c>
      <c r="D773" s="3" t="str">
        <f t="shared" si="13"/>
        <v/>
      </c>
      <c r="E773" s="159" t="str">
        <f>IF(C773="","",_xlfn.XLOOKUP(C773,Legend!$A$10:$A$26,Legend!$C$10:$C$26,"NOT FOUND",0,1))</f>
        <v/>
      </c>
      <c r="F773" s="160" t="str">
        <f>IF(C773="","",_xlfn.XLOOKUP(D773,Legend!$A$29:$A$118,Legend!$B$29:$B$118,"NOT FOUND",0,1))</f>
        <v/>
      </c>
      <c r="G773" s="268" t="str">
        <f>IF(C773="","",_xlfn.XLOOKUP(D773,Legend!$A$29:$A$118,Legend!$C$29:$C$118,"NOT FOUND",0,1))</f>
        <v/>
      </c>
    </row>
    <row r="774" spans="1:7" x14ac:dyDescent="0.2">
      <c r="A774" s="3">
        <v>1</v>
      </c>
      <c r="C774" s="3" t="str">
        <f>IF(B774="","",IF(ISNUMBER(VALUE(_xlfn.TEXTBEFORE(B774," "))),_xlfn.XLOOKUP(VALUE(_xlfn.TEXTBEFORE(B774," ")),Legend!$B$11:$B$26,Legend!$A$11:$A$26,"NOT FOUND",0,1),_xlfn.TEXTBEFORE(B774," ")))</f>
        <v/>
      </c>
      <c r="D774" s="3" t="str">
        <f t="shared" ref="D774:D837" si="14">IF(B774="","",_xlfn.TEXTAFTER(B774," "))</f>
        <v/>
      </c>
      <c r="E774" s="159" t="str">
        <f>IF(C774="","",_xlfn.XLOOKUP(C774,Legend!$A$10:$A$26,Legend!$C$10:$C$26,"NOT FOUND",0,1))</f>
        <v/>
      </c>
      <c r="F774" s="160" t="str">
        <f>IF(C774="","",_xlfn.XLOOKUP(D774,Legend!$A$29:$A$118,Legend!$B$29:$B$118,"NOT FOUND",0,1))</f>
        <v/>
      </c>
      <c r="G774" s="268" t="str">
        <f>IF(C774="","",_xlfn.XLOOKUP(D774,Legend!$A$29:$A$118,Legend!$C$29:$C$118,"NOT FOUND",0,1))</f>
        <v/>
      </c>
    </row>
    <row r="775" spans="1:7" x14ac:dyDescent="0.2">
      <c r="A775" s="3">
        <v>1</v>
      </c>
      <c r="C775" s="3" t="str">
        <f>IF(B775="","",IF(ISNUMBER(VALUE(_xlfn.TEXTBEFORE(B775," "))),_xlfn.XLOOKUP(VALUE(_xlfn.TEXTBEFORE(B775," ")),Legend!$B$11:$B$26,Legend!$A$11:$A$26,"NOT FOUND",0,1),_xlfn.TEXTBEFORE(B775," ")))</f>
        <v/>
      </c>
      <c r="D775" s="3" t="str">
        <f t="shared" si="14"/>
        <v/>
      </c>
      <c r="E775" s="159" t="str">
        <f>IF(C775="","",_xlfn.XLOOKUP(C775,Legend!$A$10:$A$26,Legend!$C$10:$C$26,"NOT FOUND",0,1))</f>
        <v/>
      </c>
      <c r="F775" s="160" t="str">
        <f>IF(C775="","",_xlfn.XLOOKUP(D775,Legend!$A$29:$A$118,Legend!$B$29:$B$118,"NOT FOUND",0,1))</f>
        <v/>
      </c>
      <c r="G775" s="268" t="str">
        <f>IF(C775="","",_xlfn.XLOOKUP(D775,Legend!$A$29:$A$118,Legend!$C$29:$C$118,"NOT FOUND",0,1))</f>
        <v/>
      </c>
    </row>
    <row r="776" spans="1:7" x14ac:dyDescent="0.2">
      <c r="A776" s="3">
        <v>1</v>
      </c>
      <c r="C776" s="3" t="str">
        <f>IF(B776="","",IF(ISNUMBER(VALUE(_xlfn.TEXTBEFORE(B776," "))),_xlfn.XLOOKUP(VALUE(_xlfn.TEXTBEFORE(B776," ")),Legend!$B$11:$B$26,Legend!$A$11:$A$26,"NOT FOUND",0,1),_xlfn.TEXTBEFORE(B776," ")))</f>
        <v/>
      </c>
      <c r="D776" s="3" t="str">
        <f t="shared" si="14"/>
        <v/>
      </c>
      <c r="E776" s="159" t="str">
        <f>IF(C776="","",_xlfn.XLOOKUP(C776,Legend!$A$10:$A$26,Legend!$C$10:$C$26,"NOT FOUND",0,1))</f>
        <v/>
      </c>
      <c r="F776" s="160" t="str">
        <f>IF(C776="","",_xlfn.XLOOKUP(D776,Legend!$A$29:$A$118,Legend!$B$29:$B$118,"NOT FOUND",0,1))</f>
        <v/>
      </c>
      <c r="G776" s="268" t="str">
        <f>IF(C776="","",_xlfn.XLOOKUP(D776,Legend!$A$29:$A$118,Legend!$C$29:$C$118,"NOT FOUND",0,1))</f>
        <v/>
      </c>
    </row>
    <row r="777" spans="1:7" x14ac:dyDescent="0.2">
      <c r="A777" s="3">
        <v>1</v>
      </c>
      <c r="C777" s="3" t="str">
        <f>IF(B777="","",IF(ISNUMBER(VALUE(_xlfn.TEXTBEFORE(B777," "))),_xlfn.XLOOKUP(VALUE(_xlfn.TEXTBEFORE(B777," ")),Legend!$B$11:$B$26,Legend!$A$11:$A$26,"NOT FOUND",0,1),_xlfn.TEXTBEFORE(B777," ")))</f>
        <v/>
      </c>
      <c r="D777" s="3" t="str">
        <f t="shared" si="14"/>
        <v/>
      </c>
      <c r="E777" s="159" t="str">
        <f>IF(C777="","",_xlfn.XLOOKUP(C777,Legend!$A$10:$A$26,Legend!$C$10:$C$26,"NOT FOUND",0,1))</f>
        <v/>
      </c>
      <c r="F777" s="160" t="str">
        <f>IF(C777="","",_xlfn.XLOOKUP(D777,Legend!$A$29:$A$118,Legend!$B$29:$B$118,"NOT FOUND",0,1))</f>
        <v/>
      </c>
      <c r="G777" s="268" t="str">
        <f>IF(C777="","",_xlfn.XLOOKUP(D777,Legend!$A$29:$A$118,Legend!$C$29:$C$118,"NOT FOUND",0,1))</f>
        <v/>
      </c>
    </row>
    <row r="778" spans="1:7" x14ac:dyDescent="0.2">
      <c r="A778" s="3">
        <v>1</v>
      </c>
      <c r="C778" s="3" t="str">
        <f>IF(B778="","",IF(ISNUMBER(VALUE(_xlfn.TEXTBEFORE(B778," "))),_xlfn.XLOOKUP(VALUE(_xlfn.TEXTBEFORE(B778," ")),Legend!$B$11:$B$26,Legend!$A$11:$A$26,"NOT FOUND",0,1),_xlfn.TEXTBEFORE(B778," ")))</f>
        <v/>
      </c>
      <c r="D778" s="3" t="str">
        <f t="shared" si="14"/>
        <v/>
      </c>
      <c r="E778" s="159" t="str">
        <f>IF(C778="","",_xlfn.XLOOKUP(C778,Legend!$A$10:$A$26,Legend!$C$10:$C$26,"NOT FOUND",0,1))</f>
        <v/>
      </c>
      <c r="F778" s="160" t="str">
        <f>IF(C778="","",_xlfn.XLOOKUP(D778,Legend!$A$29:$A$118,Legend!$B$29:$B$118,"NOT FOUND",0,1))</f>
        <v/>
      </c>
      <c r="G778" s="268" t="str">
        <f>IF(C778="","",_xlfn.XLOOKUP(D778,Legend!$A$29:$A$118,Legend!$C$29:$C$118,"NOT FOUND",0,1))</f>
        <v/>
      </c>
    </row>
    <row r="779" spans="1:7" x14ac:dyDescent="0.2">
      <c r="A779" s="3">
        <v>1</v>
      </c>
      <c r="C779" s="3" t="str">
        <f>IF(B779="","",IF(ISNUMBER(VALUE(_xlfn.TEXTBEFORE(B779," "))),_xlfn.XLOOKUP(VALUE(_xlfn.TEXTBEFORE(B779," ")),Legend!$B$11:$B$26,Legend!$A$11:$A$26,"NOT FOUND",0,1),_xlfn.TEXTBEFORE(B779," ")))</f>
        <v/>
      </c>
      <c r="D779" s="3" t="str">
        <f t="shared" si="14"/>
        <v/>
      </c>
      <c r="E779" s="159" t="str">
        <f>IF(C779="","",_xlfn.XLOOKUP(C779,Legend!$A$10:$A$26,Legend!$C$10:$C$26,"NOT FOUND",0,1))</f>
        <v/>
      </c>
      <c r="F779" s="160" t="str">
        <f>IF(C779="","",_xlfn.XLOOKUP(D779,Legend!$A$29:$A$118,Legend!$B$29:$B$118,"NOT FOUND",0,1))</f>
        <v/>
      </c>
      <c r="G779" s="268" t="str">
        <f>IF(C779="","",_xlfn.XLOOKUP(D779,Legend!$A$29:$A$118,Legend!$C$29:$C$118,"NOT FOUND",0,1))</f>
        <v/>
      </c>
    </row>
    <row r="780" spans="1:7" x14ac:dyDescent="0.2">
      <c r="A780" s="3">
        <v>1</v>
      </c>
      <c r="C780" s="3" t="str">
        <f>IF(B780="","",IF(ISNUMBER(VALUE(_xlfn.TEXTBEFORE(B780," "))),_xlfn.XLOOKUP(VALUE(_xlfn.TEXTBEFORE(B780," ")),Legend!$B$11:$B$26,Legend!$A$11:$A$26,"NOT FOUND",0,1),_xlfn.TEXTBEFORE(B780," ")))</f>
        <v/>
      </c>
      <c r="D780" s="3" t="str">
        <f t="shared" si="14"/>
        <v/>
      </c>
      <c r="E780" s="159" t="str">
        <f>IF(C780="","",_xlfn.XLOOKUP(C780,Legend!$A$10:$A$26,Legend!$C$10:$C$26,"NOT FOUND",0,1))</f>
        <v/>
      </c>
      <c r="F780" s="160" t="str">
        <f>IF(C780="","",_xlfn.XLOOKUP(D780,Legend!$A$29:$A$118,Legend!$B$29:$B$118,"NOT FOUND",0,1))</f>
        <v/>
      </c>
      <c r="G780" s="268" t="str">
        <f>IF(C780="","",_xlfn.XLOOKUP(D780,Legend!$A$29:$A$118,Legend!$C$29:$C$118,"NOT FOUND",0,1))</f>
        <v/>
      </c>
    </row>
    <row r="781" spans="1:7" x14ac:dyDescent="0.2">
      <c r="A781" s="3">
        <v>1</v>
      </c>
      <c r="C781" s="3" t="str">
        <f>IF(B781="","",IF(ISNUMBER(VALUE(_xlfn.TEXTBEFORE(B781," "))),_xlfn.XLOOKUP(VALUE(_xlfn.TEXTBEFORE(B781," ")),Legend!$B$11:$B$26,Legend!$A$11:$A$26,"NOT FOUND",0,1),_xlfn.TEXTBEFORE(B781," ")))</f>
        <v/>
      </c>
      <c r="D781" s="3" t="str">
        <f t="shared" si="14"/>
        <v/>
      </c>
      <c r="E781" s="159" t="str">
        <f>IF(C781="","",_xlfn.XLOOKUP(C781,Legend!$A$10:$A$26,Legend!$C$10:$C$26,"NOT FOUND",0,1))</f>
        <v/>
      </c>
      <c r="F781" s="160" t="str">
        <f>IF(C781="","",_xlfn.XLOOKUP(D781,Legend!$A$29:$A$118,Legend!$B$29:$B$118,"NOT FOUND",0,1))</f>
        <v/>
      </c>
      <c r="G781" s="268" t="str">
        <f>IF(C781="","",_xlfn.XLOOKUP(D781,Legend!$A$29:$A$118,Legend!$C$29:$C$118,"NOT FOUND",0,1))</f>
        <v/>
      </c>
    </row>
    <row r="782" spans="1:7" x14ac:dyDescent="0.2">
      <c r="A782" s="3">
        <v>1</v>
      </c>
      <c r="C782" s="3" t="str">
        <f>IF(B782="","",IF(ISNUMBER(VALUE(_xlfn.TEXTBEFORE(B782," "))),_xlfn.XLOOKUP(VALUE(_xlfn.TEXTBEFORE(B782," ")),Legend!$B$11:$B$26,Legend!$A$11:$A$26,"NOT FOUND",0,1),_xlfn.TEXTBEFORE(B782," ")))</f>
        <v/>
      </c>
      <c r="D782" s="3" t="str">
        <f t="shared" si="14"/>
        <v/>
      </c>
      <c r="E782" s="159" t="str">
        <f>IF(C782="","",_xlfn.XLOOKUP(C782,Legend!$A$10:$A$26,Legend!$C$10:$C$26,"NOT FOUND",0,1))</f>
        <v/>
      </c>
      <c r="F782" s="160" t="str">
        <f>IF(C782="","",_xlfn.XLOOKUP(D782,Legend!$A$29:$A$118,Legend!$B$29:$B$118,"NOT FOUND",0,1))</f>
        <v/>
      </c>
      <c r="G782" s="268" t="str">
        <f>IF(C782="","",_xlfn.XLOOKUP(D782,Legend!$A$29:$A$118,Legend!$C$29:$C$118,"NOT FOUND",0,1))</f>
        <v/>
      </c>
    </row>
    <row r="783" spans="1:7" x14ac:dyDescent="0.2">
      <c r="A783" s="3">
        <v>1</v>
      </c>
      <c r="C783" s="3" t="str">
        <f>IF(B783="","",IF(ISNUMBER(VALUE(_xlfn.TEXTBEFORE(B783," "))),_xlfn.XLOOKUP(VALUE(_xlfn.TEXTBEFORE(B783," ")),Legend!$B$11:$B$26,Legend!$A$11:$A$26,"NOT FOUND",0,1),_xlfn.TEXTBEFORE(B783," ")))</f>
        <v/>
      </c>
      <c r="D783" s="3" t="str">
        <f t="shared" si="14"/>
        <v/>
      </c>
      <c r="E783" s="159" t="str">
        <f>IF(C783="","",_xlfn.XLOOKUP(C783,Legend!$A$10:$A$26,Legend!$C$10:$C$26,"NOT FOUND",0,1))</f>
        <v/>
      </c>
      <c r="F783" s="160" t="str">
        <f>IF(C783="","",_xlfn.XLOOKUP(D783,Legend!$A$29:$A$118,Legend!$B$29:$B$118,"NOT FOUND",0,1))</f>
        <v/>
      </c>
      <c r="G783" s="268" t="str">
        <f>IF(C783="","",_xlfn.XLOOKUP(D783,Legend!$A$29:$A$118,Legend!$C$29:$C$118,"NOT FOUND",0,1))</f>
        <v/>
      </c>
    </row>
    <row r="784" spans="1:7" x14ac:dyDescent="0.2">
      <c r="A784" s="3">
        <v>1</v>
      </c>
      <c r="C784" s="3" t="str">
        <f>IF(B784="","",IF(ISNUMBER(VALUE(_xlfn.TEXTBEFORE(B784," "))),_xlfn.XLOOKUP(VALUE(_xlfn.TEXTBEFORE(B784," ")),Legend!$B$11:$B$26,Legend!$A$11:$A$26,"NOT FOUND",0,1),_xlfn.TEXTBEFORE(B784," ")))</f>
        <v/>
      </c>
      <c r="D784" s="3" t="str">
        <f t="shared" si="14"/>
        <v/>
      </c>
      <c r="E784" s="159" t="str">
        <f>IF(C784="","",_xlfn.XLOOKUP(C784,Legend!$A$10:$A$26,Legend!$C$10:$C$26,"NOT FOUND",0,1))</f>
        <v/>
      </c>
      <c r="F784" s="160" t="str">
        <f>IF(C784="","",_xlfn.XLOOKUP(D784,Legend!$A$29:$A$118,Legend!$B$29:$B$118,"NOT FOUND",0,1))</f>
        <v/>
      </c>
      <c r="G784" s="268" t="str">
        <f>IF(C784="","",_xlfn.XLOOKUP(D784,Legend!$A$29:$A$118,Legend!$C$29:$C$118,"NOT FOUND",0,1))</f>
        <v/>
      </c>
    </row>
    <row r="785" spans="1:7" x14ac:dyDescent="0.2">
      <c r="A785" s="3">
        <v>1</v>
      </c>
      <c r="C785" s="3" t="str">
        <f>IF(B785="","",IF(ISNUMBER(VALUE(_xlfn.TEXTBEFORE(B785," "))),_xlfn.XLOOKUP(VALUE(_xlfn.TEXTBEFORE(B785," ")),Legend!$B$11:$B$26,Legend!$A$11:$A$26,"NOT FOUND",0,1),_xlfn.TEXTBEFORE(B785," ")))</f>
        <v/>
      </c>
      <c r="D785" s="3" t="str">
        <f t="shared" si="14"/>
        <v/>
      </c>
      <c r="E785" s="159" t="str">
        <f>IF(C785="","",_xlfn.XLOOKUP(C785,Legend!$A$10:$A$26,Legend!$C$10:$C$26,"NOT FOUND",0,1))</f>
        <v/>
      </c>
      <c r="F785" s="160" t="str">
        <f>IF(C785="","",_xlfn.XLOOKUP(D785,Legend!$A$29:$A$118,Legend!$B$29:$B$118,"NOT FOUND",0,1))</f>
        <v/>
      </c>
      <c r="G785" s="268" t="str">
        <f>IF(C785="","",_xlfn.XLOOKUP(D785,Legend!$A$29:$A$118,Legend!$C$29:$C$118,"NOT FOUND",0,1))</f>
        <v/>
      </c>
    </row>
    <row r="786" spans="1:7" x14ac:dyDescent="0.2">
      <c r="A786" s="3">
        <v>1</v>
      </c>
      <c r="C786" s="3" t="str">
        <f>IF(B786="","",IF(ISNUMBER(VALUE(_xlfn.TEXTBEFORE(B786," "))),_xlfn.XLOOKUP(VALUE(_xlfn.TEXTBEFORE(B786," ")),Legend!$B$11:$B$26,Legend!$A$11:$A$26,"NOT FOUND",0,1),_xlfn.TEXTBEFORE(B786," ")))</f>
        <v/>
      </c>
      <c r="D786" s="3" t="str">
        <f t="shared" si="14"/>
        <v/>
      </c>
      <c r="E786" s="159" t="str">
        <f>IF(C786="","",_xlfn.XLOOKUP(C786,Legend!$A$10:$A$26,Legend!$C$10:$C$26,"NOT FOUND",0,1))</f>
        <v/>
      </c>
      <c r="F786" s="160" t="str">
        <f>IF(C786="","",_xlfn.XLOOKUP(D786,Legend!$A$29:$A$118,Legend!$B$29:$B$118,"NOT FOUND",0,1))</f>
        <v/>
      </c>
      <c r="G786" s="268" t="str">
        <f>IF(C786="","",_xlfn.XLOOKUP(D786,Legend!$A$29:$A$118,Legend!$C$29:$C$118,"NOT FOUND",0,1))</f>
        <v/>
      </c>
    </row>
    <row r="787" spans="1:7" x14ac:dyDescent="0.2">
      <c r="A787" s="3">
        <v>1</v>
      </c>
      <c r="C787" s="3" t="str">
        <f>IF(B787="","",IF(ISNUMBER(VALUE(_xlfn.TEXTBEFORE(B787," "))),_xlfn.XLOOKUP(VALUE(_xlfn.TEXTBEFORE(B787," ")),Legend!$B$11:$B$26,Legend!$A$11:$A$26,"NOT FOUND",0,1),_xlfn.TEXTBEFORE(B787," ")))</f>
        <v/>
      </c>
      <c r="D787" s="3" t="str">
        <f t="shared" si="14"/>
        <v/>
      </c>
      <c r="E787" s="159" t="str">
        <f>IF(C787="","",_xlfn.XLOOKUP(C787,Legend!$A$10:$A$26,Legend!$C$10:$C$26,"NOT FOUND",0,1))</f>
        <v/>
      </c>
      <c r="F787" s="160" t="str">
        <f>IF(C787="","",_xlfn.XLOOKUP(D787,Legend!$A$29:$A$118,Legend!$B$29:$B$118,"NOT FOUND",0,1))</f>
        <v/>
      </c>
      <c r="G787" s="268" t="str">
        <f>IF(C787="","",_xlfn.XLOOKUP(D787,Legend!$A$29:$A$118,Legend!$C$29:$C$118,"NOT FOUND",0,1))</f>
        <v/>
      </c>
    </row>
    <row r="788" spans="1:7" x14ac:dyDescent="0.2">
      <c r="A788" s="3">
        <v>1</v>
      </c>
      <c r="C788" s="3" t="str">
        <f>IF(B788="","",IF(ISNUMBER(VALUE(_xlfn.TEXTBEFORE(B788," "))),_xlfn.XLOOKUP(VALUE(_xlfn.TEXTBEFORE(B788," ")),Legend!$B$11:$B$26,Legend!$A$11:$A$26,"NOT FOUND",0,1),_xlfn.TEXTBEFORE(B788," ")))</f>
        <v/>
      </c>
      <c r="D788" s="3" t="str">
        <f t="shared" si="14"/>
        <v/>
      </c>
      <c r="E788" s="159" t="str">
        <f>IF(C788="","",_xlfn.XLOOKUP(C788,Legend!$A$10:$A$26,Legend!$C$10:$C$26,"NOT FOUND",0,1))</f>
        <v/>
      </c>
      <c r="F788" s="160" t="str">
        <f>IF(C788="","",_xlfn.XLOOKUP(D788,Legend!$A$29:$A$118,Legend!$B$29:$B$118,"NOT FOUND",0,1))</f>
        <v/>
      </c>
      <c r="G788" s="268" t="str">
        <f>IF(C788="","",_xlfn.XLOOKUP(D788,Legend!$A$29:$A$118,Legend!$C$29:$C$118,"NOT FOUND",0,1))</f>
        <v/>
      </c>
    </row>
    <row r="789" spans="1:7" x14ac:dyDescent="0.2">
      <c r="A789" s="3">
        <v>1</v>
      </c>
      <c r="C789" s="3" t="str">
        <f>IF(B789="","",IF(ISNUMBER(VALUE(_xlfn.TEXTBEFORE(B789," "))),_xlfn.XLOOKUP(VALUE(_xlfn.TEXTBEFORE(B789," ")),Legend!$B$11:$B$26,Legend!$A$11:$A$26,"NOT FOUND",0,1),_xlfn.TEXTBEFORE(B789," ")))</f>
        <v/>
      </c>
      <c r="D789" s="3" t="str">
        <f t="shared" si="14"/>
        <v/>
      </c>
      <c r="E789" s="159" t="str">
        <f>IF(C789="","",_xlfn.XLOOKUP(C789,Legend!$A$10:$A$26,Legend!$C$10:$C$26,"NOT FOUND",0,1))</f>
        <v/>
      </c>
      <c r="F789" s="160" t="str">
        <f>IF(C789="","",_xlfn.XLOOKUP(D789,Legend!$A$29:$A$118,Legend!$B$29:$B$118,"NOT FOUND",0,1))</f>
        <v/>
      </c>
      <c r="G789" s="268" t="str">
        <f>IF(C789="","",_xlfn.XLOOKUP(D789,Legend!$A$29:$A$118,Legend!$C$29:$C$118,"NOT FOUND",0,1))</f>
        <v/>
      </c>
    </row>
    <row r="790" spans="1:7" x14ac:dyDescent="0.2">
      <c r="A790" s="3">
        <v>1</v>
      </c>
      <c r="C790" s="3" t="str">
        <f>IF(B790="","",IF(ISNUMBER(VALUE(_xlfn.TEXTBEFORE(B790," "))),_xlfn.XLOOKUP(VALUE(_xlfn.TEXTBEFORE(B790," ")),Legend!$B$11:$B$26,Legend!$A$11:$A$26,"NOT FOUND",0,1),_xlfn.TEXTBEFORE(B790," ")))</f>
        <v/>
      </c>
      <c r="D790" s="3" t="str">
        <f t="shared" si="14"/>
        <v/>
      </c>
      <c r="E790" s="159" t="str">
        <f>IF(C790="","",_xlfn.XLOOKUP(C790,Legend!$A$10:$A$26,Legend!$C$10:$C$26,"NOT FOUND",0,1))</f>
        <v/>
      </c>
      <c r="F790" s="160" t="str">
        <f>IF(C790="","",_xlfn.XLOOKUP(D790,Legend!$A$29:$A$118,Legend!$B$29:$B$118,"NOT FOUND",0,1))</f>
        <v/>
      </c>
      <c r="G790" s="268" t="str">
        <f>IF(C790="","",_xlfn.XLOOKUP(D790,Legend!$A$29:$A$118,Legend!$C$29:$C$118,"NOT FOUND",0,1))</f>
        <v/>
      </c>
    </row>
    <row r="791" spans="1:7" x14ac:dyDescent="0.2">
      <c r="A791" s="3">
        <v>1</v>
      </c>
      <c r="C791" s="3" t="str">
        <f>IF(B791="","",IF(ISNUMBER(VALUE(_xlfn.TEXTBEFORE(B791," "))),_xlfn.XLOOKUP(VALUE(_xlfn.TEXTBEFORE(B791," ")),Legend!$B$11:$B$26,Legend!$A$11:$A$26,"NOT FOUND",0,1),_xlfn.TEXTBEFORE(B791," ")))</f>
        <v/>
      </c>
      <c r="D791" s="3" t="str">
        <f t="shared" si="14"/>
        <v/>
      </c>
      <c r="E791" s="159" t="str">
        <f>IF(C791="","",_xlfn.XLOOKUP(C791,Legend!$A$10:$A$26,Legend!$C$10:$C$26,"NOT FOUND",0,1))</f>
        <v/>
      </c>
      <c r="F791" s="160" t="str">
        <f>IF(C791="","",_xlfn.XLOOKUP(D791,Legend!$A$29:$A$118,Legend!$B$29:$B$118,"NOT FOUND",0,1))</f>
        <v/>
      </c>
      <c r="G791" s="268" t="str">
        <f>IF(C791="","",_xlfn.XLOOKUP(D791,Legend!$A$29:$A$118,Legend!$C$29:$C$118,"NOT FOUND",0,1))</f>
        <v/>
      </c>
    </row>
    <row r="792" spans="1:7" x14ac:dyDescent="0.2">
      <c r="A792" s="3">
        <v>1</v>
      </c>
      <c r="C792" s="3" t="str">
        <f>IF(B792="","",IF(ISNUMBER(VALUE(_xlfn.TEXTBEFORE(B792," "))),_xlfn.XLOOKUP(VALUE(_xlfn.TEXTBEFORE(B792," ")),Legend!$B$11:$B$26,Legend!$A$11:$A$26,"NOT FOUND",0,1),_xlfn.TEXTBEFORE(B792," ")))</f>
        <v/>
      </c>
      <c r="D792" s="3" t="str">
        <f t="shared" si="14"/>
        <v/>
      </c>
      <c r="E792" s="159" t="str">
        <f>IF(C792="","",_xlfn.XLOOKUP(C792,Legend!$A$10:$A$26,Legend!$C$10:$C$26,"NOT FOUND",0,1))</f>
        <v/>
      </c>
      <c r="F792" s="160" t="str">
        <f>IF(C792="","",_xlfn.XLOOKUP(D792,Legend!$A$29:$A$118,Legend!$B$29:$B$118,"NOT FOUND",0,1))</f>
        <v/>
      </c>
      <c r="G792" s="268" t="str">
        <f>IF(C792="","",_xlfn.XLOOKUP(D792,Legend!$A$29:$A$118,Legend!$C$29:$C$118,"NOT FOUND",0,1))</f>
        <v/>
      </c>
    </row>
    <row r="793" spans="1:7" x14ac:dyDescent="0.2">
      <c r="A793" s="3">
        <v>1</v>
      </c>
      <c r="C793" s="3" t="str">
        <f>IF(B793="","",IF(ISNUMBER(VALUE(_xlfn.TEXTBEFORE(B793," "))),_xlfn.XLOOKUP(VALUE(_xlfn.TEXTBEFORE(B793," ")),Legend!$B$11:$B$26,Legend!$A$11:$A$26,"NOT FOUND",0,1),_xlfn.TEXTBEFORE(B793," ")))</f>
        <v/>
      </c>
      <c r="D793" s="3" t="str">
        <f t="shared" si="14"/>
        <v/>
      </c>
      <c r="E793" s="159" t="str">
        <f>IF(C793="","",_xlfn.XLOOKUP(C793,Legend!$A$10:$A$26,Legend!$C$10:$C$26,"NOT FOUND",0,1))</f>
        <v/>
      </c>
      <c r="F793" s="160" t="str">
        <f>IF(C793="","",_xlfn.XLOOKUP(D793,Legend!$A$29:$A$118,Legend!$B$29:$B$118,"NOT FOUND",0,1))</f>
        <v/>
      </c>
      <c r="G793" s="268" t="str">
        <f>IF(C793="","",_xlfn.XLOOKUP(D793,Legend!$A$29:$A$118,Legend!$C$29:$C$118,"NOT FOUND",0,1))</f>
        <v/>
      </c>
    </row>
    <row r="794" spans="1:7" x14ac:dyDescent="0.2">
      <c r="A794" s="3">
        <v>1</v>
      </c>
      <c r="C794" s="3" t="str">
        <f>IF(B794="","",IF(ISNUMBER(VALUE(_xlfn.TEXTBEFORE(B794," "))),_xlfn.XLOOKUP(VALUE(_xlfn.TEXTBEFORE(B794," ")),Legend!$B$11:$B$26,Legend!$A$11:$A$26,"NOT FOUND",0,1),_xlfn.TEXTBEFORE(B794," ")))</f>
        <v/>
      </c>
      <c r="D794" s="3" t="str">
        <f t="shared" si="14"/>
        <v/>
      </c>
      <c r="E794" s="159" t="str">
        <f>IF(C794="","",_xlfn.XLOOKUP(C794,Legend!$A$10:$A$26,Legend!$C$10:$C$26,"NOT FOUND",0,1))</f>
        <v/>
      </c>
      <c r="F794" s="160" t="str">
        <f>IF(C794="","",_xlfn.XLOOKUP(D794,Legend!$A$29:$A$118,Legend!$B$29:$B$118,"NOT FOUND",0,1))</f>
        <v/>
      </c>
      <c r="G794" s="268" t="str">
        <f>IF(C794="","",_xlfn.XLOOKUP(D794,Legend!$A$29:$A$118,Legend!$C$29:$C$118,"NOT FOUND",0,1))</f>
        <v/>
      </c>
    </row>
    <row r="795" spans="1:7" x14ac:dyDescent="0.2">
      <c r="A795" s="3">
        <v>1</v>
      </c>
      <c r="C795" s="3" t="str">
        <f>IF(B795="","",IF(ISNUMBER(VALUE(_xlfn.TEXTBEFORE(B795," "))),_xlfn.XLOOKUP(VALUE(_xlfn.TEXTBEFORE(B795," ")),Legend!$B$11:$B$26,Legend!$A$11:$A$26,"NOT FOUND",0,1),_xlfn.TEXTBEFORE(B795," ")))</f>
        <v/>
      </c>
      <c r="D795" s="3" t="str">
        <f t="shared" si="14"/>
        <v/>
      </c>
      <c r="E795" s="159" t="str">
        <f>IF(C795="","",_xlfn.XLOOKUP(C795,Legend!$A$10:$A$26,Legend!$C$10:$C$26,"NOT FOUND",0,1))</f>
        <v/>
      </c>
      <c r="F795" s="160" t="str">
        <f>IF(C795="","",_xlfn.XLOOKUP(D795,Legend!$A$29:$A$118,Legend!$B$29:$B$118,"NOT FOUND",0,1))</f>
        <v/>
      </c>
      <c r="G795" s="268" t="str">
        <f>IF(C795="","",_xlfn.XLOOKUP(D795,Legend!$A$29:$A$118,Legend!$C$29:$C$118,"NOT FOUND",0,1))</f>
        <v/>
      </c>
    </row>
    <row r="796" spans="1:7" x14ac:dyDescent="0.2">
      <c r="A796" s="3">
        <v>1</v>
      </c>
      <c r="C796" s="3" t="str">
        <f>IF(B796="","",IF(ISNUMBER(VALUE(_xlfn.TEXTBEFORE(B796," "))),_xlfn.XLOOKUP(VALUE(_xlfn.TEXTBEFORE(B796," ")),Legend!$B$11:$B$26,Legend!$A$11:$A$26,"NOT FOUND",0,1),_xlfn.TEXTBEFORE(B796," ")))</f>
        <v/>
      </c>
      <c r="D796" s="3" t="str">
        <f t="shared" si="14"/>
        <v/>
      </c>
      <c r="E796" s="159" t="str">
        <f>IF(C796="","",_xlfn.XLOOKUP(C796,Legend!$A$10:$A$26,Legend!$C$10:$C$26,"NOT FOUND",0,1))</f>
        <v/>
      </c>
      <c r="F796" s="160" t="str">
        <f>IF(C796="","",_xlfn.XLOOKUP(D796,Legend!$A$29:$A$118,Legend!$B$29:$B$118,"NOT FOUND",0,1))</f>
        <v/>
      </c>
      <c r="G796" s="268" t="str">
        <f>IF(C796="","",_xlfn.XLOOKUP(D796,Legend!$A$29:$A$118,Legend!$C$29:$C$118,"NOT FOUND",0,1))</f>
        <v/>
      </c>
    </row>
    <row r="797" spans="1:7" x14ac:dyDescent="0.2">
      <c r="A797" s="3">
        <v>1</v>
      </c>
      <c r="C797" s="3" t="str">
        <f>IF(B797="","",IF(ISNUMBER(VALUE(_xlfn.TEXTBEFORE(B797," "))),_xlfn.XLOOKUP(VALUE(_xlfn.TEXTBEFORE(B797," ")),Legend!$B$11:$B$26,Legend!$A$11:$A$26,"NOT FOUND",0,1),_xlfn.TEXTBEFORE(B797," ")))</f>
        <v/>
      </c>
      <c r="D797" s="3" t="str">
        <f t="shared" si="14"/>
        <v/>
      </c>
      <c r="E797" s="159" t="str">
        <f>IF(C797="","",_xlfn.XLOOKUP(C797,Legend!$A$10:$A$26,Legend!$C$10:$C$26,"NOT FOUND",0,1))</f>
        <v/>
      </c>
      <c r="F797" s="160" t="str">
        <f>IF(C797="","",_xlfn.XLOOKUP(D797,Legend!$A$29:$A$118,Legend!$B$29:$B$118,"NOT FOUND",0,1))</f>
        <v/>
      </c>
      <c r="G797" s="268" t="str">
        <f>IF(C797="","",_xlfn.XLOOKUP(D797,Legend!$A$29:$A$118,Legend!$C$29:$C$118,"NOT FOUND",0,1))</f>
        <v/>
      </c>
    </row>
    <row r="798" spans="1:7" x14ac:dyDescent="0.2">
      <c r="A798" s="3">
        <v>1</v>
      </c>
      <c r="C798" s="3" t="str">
        <f>IF(B798="","",IF(ISNUMBER(VALUE(_xlfn.TEXTBEFORE(B798," "))),_xlfn.XLOOKUP(VALUE(_xlfn.TEXTBEFORE(B798," ")),Legend!$B$11:$B$26,Legend!$A$11:$A$26,"NOT FOUND",0,1),_xlfn.TEXTBEFORE(B798," ")))</f>
        <v/>
      </c>
      <c r="D798" s="3" t="str">
        <f t="shared" si="14"/>
        <v/>
      </c>
      <c r="E798" s="159" t="str">
        <f>IF(C798="","",_xlfn.XLOOKUP(C798,Legend!$A$10:$A$26,Legend!$C$10:$C$26,"NOT FOUND",0,1))</f>
        <v/>
      </c>
      <c r="F798" s="160" t="str">
        <f>IF(C798="","",_xlfn.XLOOKUP(D798,Legend!$A$29:$A$118,Legend!$B$29:$B$118,"NOT FOUND",0,1))</f>
        <v/>
      </c>
      <c r="G798" s="268" t="str">
        <f>IF(C798="","",_xlfn.XLOOKUP(D798,Legend!$A$29:$A$118,Legend!$C$29:$C$118,"NOT FOUND",0,1))</f>
        <v/>
      </c>
    </row>
    <row r="799" spans="1:7" x14ac:dyDescent="0.2">
      <c r="A799" s="3">
        <v>1</v>
      </c>
      <c r="C799" s="3" t="str">
        <f>IF(B799="","",IF(ISNUMBER(VALUE(_xlfn.TEXTBEFORE(B799," "))),_xlfn.XLOOKUP(VALUE(_xlfn.TEXTBEFORE(B799," ")),Legend!$B$11:$B$26,Legend!$A$11:$A$26,"NOT FOUND",0,1),_xlfn.TEXTBEFORE(B799," ")))</f>
        <v/>
      </c>
      <c r="D799" s="3" t="str">
        <f t="shared" si="14"/>
        <v/>
      </c>
      <c r="E799" s="159" t="str">
        <f>IF(C799="","",_xlfn.XLOOKUP(C799,Legend!$A$10:$A$26,Legend!$C$10:$C$26,"NOT FOUND",0,1))</f>
        <v/>
      </c>
      <c r="F799" s="160" t="str">
        <f>IF(C799="","",_xlfn.XLOOKUP(D799,Legend!$A$29:$A$118,Legend!$B$29:$B$118,"NOT FOUND",0,1))</f>
        <v/>
      </c>
      <c r="G799" s="268" t="str">
        <f>IF(C799="","",_xlfn.XLOOKUP(D799,Legend!$A$29:$A$118,Legend!$C$29:$C$118,"NOT FOUND",0,1))</f>
        <v/>
      </c>
    </row>
    <row r="800" spans="1:7" x14ac:dyDescent="0.2">
      <c r="A800" s="3">
        <v>1</v>
      </c>
      <c r="C800" s="3" t="str">
        <f>IF(B800="","",IF(ISNUMBER(VALUE(_xlfn.TEXTBEFORE(B800," "))),_xlfn.XLOOKUP(VALUE(_xlfn.TEXTBEFORE(B800," ")),Legend!$B$11:$B$26,Legend!$A$11:$A$26,"NOT FOUND",0,1),_xlfn.TEXTBEFORE(B800," ")))</f>
        <v/>
      </c>
      <c r="D800" s="3" t="str">
        <f t="shared" si="14"/>
        <v/>
      </c>
      <c r="E800" s="159" t="str">
        <f>IF(C800="","",_xlfn.XLOOKUP(C800,Legend!$A$10:$A$26,Legend!$C$10:$C$26,"NOT FOUND",0,1))</f>
        <v/>
      </c>
      <c r="F800" s="160" t="str">
        <f>IF(C800="","",_xlfn.XLOOKUP(D800,Legend!$A$29:$A$118,Legend!$B$29:$B$118,"NOT FOUND",0,1))</f>
        <v/>
      </c>
      <c r="G800" s="268" t="str">
        <f>IF(C800="","",_xlfn.XLOOKUP(D800,Legend!$A$29:$A$118,Legend!$C$29:$C$118,"NOT FOUND",0,1))</f>
        <v/>
      </c>
    </row>
    <row r="801" spans="1:7" x14ac:dyDescent="0.2">
      <c r="A801" s="3">
        <v>1</v>
      </c>
      <c r="C801" s="3" t="str">
        <f>IF(B801="","",IF(ISNUMBER(VALUE(_xlfn.TEXTBEFORE(B801," "))),_xlfn.XLOOKUP(VALUE(_xlfn.TEXTBEFORE(B801," ")),Legend!$B$11:$B$26,Legend!$A$11:$A$26,"NOT FOUND",0,1),_xlfn.TEXTBEFORE(B801," ")))</f>
        <v/>
      </c>
      <c r="D801" s="3" t="str">
        <f t="shared" si="14"/>
        <v/>
      </c>
      <c r="E801" s="159" t="str">
        <f>IF(C801="","",_xlfn.XLOOKUP(C801,Legend!$A$10:$A$26,Legend!$C$10:$C$26,"NOT FOUND",0,1))</f>
        <v/>
      </c>
      <c r="F801" s="160" t="str">
        <f>IF(C801="","",_xlfn.XLOOKUP(D801,Legend!$A$29:$A$118,Legend!$B$29:$B$118,"NOT FOUND",0,1))</f>
        <v/>
      </c>
      <c r="G801" s="268" t="str">
        <f>IF(C801="","",_xlfn.XLOOKUP(D801,Legend!$A$29:$A$118,Legend!$C$29:$C$118,"NOT FOUND",0,1))</f>
        <v/>
      </c>
    </row>
    <row r="802" spans="1:7" x14ac:dyDescent="0.2">
      <c r="A802" s="3">
        <v>1</v>
      </c>
      <c r="C802" s="3" t="str">
        <f>IF(B802="","",IF(ISNUMBER(VALUE(_xlfn.TEXTBEFORE(B802," "))),_xlfn.XLOOKUP(VALUE(_xlfn.TEXTBEFORE(B802," ")),Legend!$B$11:$B$26,Legend!$A$11:$A$26,"NOT FOUND",0,1),_xlfn.TEXTBEFORE(B802," ")))</f>
        <v/>
      </c>
      <c r="D802" s="3" t="str">
        <f t="shared" si="14"/>
        <v/>
      </c>
      <c r="E802" s="159" t="str">
        <f>IF(C802="","",_xlfn.XLOOKUP(C802,Legend!$A$10:$A$26,Legend!$C$10:$C$26,"NOT FOUND",0,1))</f>
        <v/>
      </c>
      <c r="F802" s="160" t="str">
        <f>IF(C802="","",_xlfn.XLOOKUP(D802,Legend!$A$29:$A$118,Legend!$B$29:$B$118,"NOT FOUND",0,1))</f>
        <v/>
      </c>
      <c r="G802" s="268" t="str">
        <f>IF(C802="","",_xlfn.XLOOKUP(D802,Legend!$A$29:$A$118,Legend!$C$29:$C$118,"NOT FOUND",0,1))</f>
        <v/>
      </c>
    </row>
    <row r="803" spans="1:7" x14ac:dyDescent="0.2">
      <c r="A803" s="3">
        <v>1</v>
      </c>
      <c r="C803" s="3" t="str">
        <f>IF(B803="","",IF(ISNUMBER(VALUE(_xlfn.TEXTBEFORE(B803," "))),_xlfn.XLOOKUP(VALUE(_xlfn.TEXTBEFORE(B803," ")),Legend!$B$11:$B$26,Legend!$A$11:$A$26,"NOT FOUND",0,1),_xlfn.TEXTBEFORE(B803," ")))</f>
        <v/>
      </c>
      <c r="D803" s="3" t="str">
        <f t="shared" si="14"/>
        <v/>
      </c>
      <c r="E803" s="159" t="str">
        <f>IF(C803="","",_xlfn.XLOOKUP(C803,Legend!$A$10:$A$26,Legend!$C$10:$C$26,"NOT FOUND",0,1))</f>
        <v/>
      </c>
      <c r="F803" s="160" t="str">
        <f>IF(C803="","",_xlfn.XLOOKUP(D803,Legend!$A$29:$A$118,Legend!$B$29:$B$118,"NOT FOUND",0,1))</f>
        <v/>
      </c>
      <c r="G803" s="268" t="str">
        <f>IF(C803="","",_xlfn.XLOOKUP(D803,Legend!$A$29:$A$118,Legend!$C$29:$C$118,"NOT FOUND",0,1))</f>
        <v/>
      </c>
    </row>
    <row r="804" spans="1:7" x14ac:dyDescent="0.2">
      <c r="A804" s="3">
        <v>1</v>
      </c>
      <c r="C804" s="3" t="str">
        <f>IF(B804="","",IF(ISNUMBER(VALUE(_xlfn.TEXTBEFORE(B804," "))),_xlfn.XLOOKUP(VALUE(_xlfn.TEXTBEFORE(B804," ")),Legend!$B$11:$B$26,Legend!$A$11:$A$26,"NOT FOUND",0,1),_xlfn.TEXTBEFORE(B804," ")))</f>
        <v/>
      </c>
      <c r="D804" s="3" t="str">
        <f t="shared" si="14"/>
        <v/>
      </c>
      <c r="E804" s="159" t="str">
        <f>IF(C804="","",_xlfn.XLOOKUP(C804,Legend!$A$10:$A$26,Legend!$C$10:$C$26,"NOT FOUND",0,1))</f>
        <v/>
      </c>
      <c r="F804" s="160" t="str">
        <f>IF(C804="","",_xlfn.XLOOKUP(D804,Legend!$A$29:$A$118,Legend!$B$29:$B$118,"NOT FOUND",0,1))</f>
        <v/>
      </c>
      <c r="G804" s="268" t="str">
        <f>IF(C804="","",_xlfn.XLOOKUP(D804,Legend!$A$29:$A$118,Legend!$C$29:$C$118,"NOT FOUND",0,1))</f>
        <v/>
      </c>
    </row>
    <row r="805" spans="1:7" x14ac:dyDescent="0.2">
      <c r="A805" s="3">
        <v>1</v>
      </c>
      <c r="C805" s="3" t="str">
        <f>IF(B805="","",IF(ISNUMBER(VALUE(_xlfn.TEXTBEFORE(B805," "))),_xlfn.XLOOKUP(VALUE(_xlfn.TEXTBEFORE(B805," ")),Legend!$B$11:$B$26,Legend!$A$11:$A$26,"NOT FOUND",0,1),_xlfn.TEXTBEFORE(B805," ")))</f>
        <v/>
      </c>
      <c r="D805" s="3" t="str">
        <f t="shared" si="14"/>
        <v/>
      </c>
      <c r="E805" s="159" t="str">
        <f>IF(C805="","",_xlfn.XLOOKUP(C805,Legend!$A$10:$A$26,Legend!$C$10:$C$26,"NOT FOUND",0,1))</f>
        <v/>
      </c>
      <c r="F805" s="160" t="str">
        <f>IF(C805="","",_xlfn.XLOOKUP(D805,Legend!$A$29:$A$118,Legend!$B$29:$B$118,"NOT FOUND",0,1))</f>
        <v/>
      </c>
      <c r="G805" s="268" t="str">
        <f>IF(C805="","",_xlfn.XLOOKUP(D805,Legend!$A$29:$A$118,Legend!$C$29:$C$118,"NOT FOUND",0,1))</f>
        <v/>
      </c>
    </row>
    <row r="806" spans="1:7" x14ac:dyDescent="0.2">
      <c r="A806" s="3">
        <v>1</v>
      </c>
      <c r="C806" s="3" t="str">
        <f>IF(B806="","",IF(ISNUMBER(VALUE(_xlfn.TEXTBEFORE(B806," "))),_xlfn.XLOOKUP(VALUE(_xlfn.TEXTBEFORE(B806," ")),Legend!$B$11:$B$26,Legend!$A$11:$A$26,"NOT FOUND",0,1),_xlfn.TEXTBEFORE(B806," ")))</f>
        <v/>
      </c>
      <c r="D806" s="3" t="str">
        <f t="shared" si="14"/>
        <v/>
      </c>
      <c r="E806" s="159" t="str">
        <f>IF(C806="","",_xlfn.XLOOKUP(C806,Legend!$A$10:$A$26,Legend!$C$10:$C$26,"NOT FOUND",0,1))</f>
        <v/>
      </c>
      <c r="F806" s="160" t="str">
        <f>IF(C806="","",_xlfn.XLOOKUP(D806,Legend!$A$29:$A$118,Legend!$B$29:$B$118,"NOT FOUND",0,1))</f>
        <v/>
      </c>
      <c r="G806" s="268" t="str">
        <f>IF(C806="","",_xlfn.XLOOKUP(D806,Legend!$A$29:$A$118,Legend!$C$29:$C$118,"NOT FOUND",0,1))</f>
        <v/>
      </c>
    </row>
    <row r="807" spans="1:7" x14ac:dyDescent="0.2">
      <c r="A807" s="3">
        <v>1</v>
      </c>
      <c r="C807" s="3" t="str">
        <f>IF(B807="","",IF(ISNUMBER(VALUE(_xlfn.TEXTBEFORE(B807," "))),_xlfn.XLOOKUP(VALUE(_xlfn.TEXTBEFORE(B807," ")),Legend!$B$11:$B$26,Legend!$A$11:$A$26,"NOT FOUND",0,1),_xlfn.TEXTBEFORE(B807," ")))</f>
        <v/>
      </c>
      <c r="D807" s="3" t="str">
        <f t="shared" si="14"/>
        <v/>
      </c>
      <c r="E807" s="159" t="str">
        <f>IF(C807="","",_xlfn.XLOOKUP(C807,Legend!$A$10:$A$26,Legend!$C$10:$C$26,"NOT FOUND",0,1))</f>
        <v/>
      </c>
      <c r="F807" s="160" t="str">
        <f>IF(C807="","",_xlfn.XLOOKUP(D807,Legend!$A$29:$A$118,Legend!$B$29:$B$118,"NOT FOUND",0,1))</f>
        <v/>
      </c>
      <c r="G807" s="268" t="str">
        <f>IF(C807="","",_xlfn.XLOOKUP(D807,Legend!$A$29:$A$118,Legend!$C$29:$C$118,"NOT FOUND",0,1))</f>
        <v/>
      </c>
    </row>
    <row r="808" spans="1:7" x14ac:dyDescent="0.2">
      <c r="A808" s="3">
        <v>1</v>
      </c>
      <c r="C808" s="3" t="str">
        <f>IF(B808="","",IF(ISNUMBER(VALUE(_xlfn.TEXTBEFORE(B808," "))),_xlfn.XLOOKUP(VALUE(_xlfn.TEXTBEFORE(B808," ")),Legend!$B$11:$B$26,Legend!$A$11:$A$26,"NOT FOUND",0,1),_xlfn.TEXTBEFORE(B808," ")))</f>
        <v/>
      </c>
      <c r="D808" s="3" t="str">
        <f t="shared" si="14"/>
        <v/>
      </c>
      <c r="E808" s="159" t="str">
        <f>IF(C808="","",_xlfn.XLOOKUP(C808,Legend!$A$10:$A$26,Legend!$C$10:$C$26,"NOT FOUND",0,1))</f>
        <v/>
      </c>
      <c r="F808" s="160" t="str">
        <f>IF(C808="","",_xlfn.XLOOKUP(D808,Legend!$A$29:$A$118,Legend!$B$29:$B$118,"NOT FOUND",0,1))</f>
        <v/>
      </c>
      <c r="G808" s="268" t="str">
        <f>IF(C808="","",_xlfn.XLOOKUP(D808,Legend!$A$29:$A$118,Legend!$C$29:$C$118,"NOT FOUND",0,1))</f>
        <v/>
      </c>
    </row>
    <row r="809" spans="1:7" x14ac:dyDescent="0.2">
      <c r="A809" s="3">
        <v>1</v>
      </c>
      <c r="C809" s="3" t="str">
        <f>IF(B809="","",IF(ISNUMBER(VALUE(_xlfn.TEXTBEFORE(B809," "))),_xlfn.XLOOKUP(VALUE(_xlfn.TEXTBEFORE(B809," ")),Legend!$B$11:$B$26,Legend!$A$11:$A$26,"NOT FOUND",0,1),_xlfn.TEXTBEFORE(B809," ")))</f>
        <v/>
      </c>
      <c r="D809" s="3" t="str">
        <f t="shared" si="14"/>
        <v/>
      </c>
      <c r="E809" s="159" t="str">
        <f>IF(C809="","",_xlfn.XLOOKUP(C809,Legend!$A$10:$A$26,Legend!$C$10:$C$26,"NOT FOUND",0,1))</f>
        <v/>
      </c>
      <c r="F809" s="160" t="str">
        <f>IF(C809="","",_xlfn.XLOOKUP(D809,Legend!$A$29:$A$118,Legend!$B$29:$B$118,"NOT FOUND",0,1))</f>
        <v/>
      </c>
      <c r="G809" s="268" t="str">
        <f>IF(C809="","",_xlfn.XLOOKUP(D809,Legend!$A$29:$A$118,Legend!$C$29:$C$118,"NOT FOUND",0,1))</f>
        <v/>
      </c>
    </row>
    <row r="810" spans="1:7" x14ac:dyDescent="0.2">
      <c r="A810" s="3">
        <v>1</v>
      </c>
      <c r="C810" s="3" t="str">
        <f>IF(B810="","",IF(ISNUMBER(VALUE(_xlfn.TEXTBEFORE(B810," "))),_xlfn.XLOOKUP(VALUE(_xlfn.TEXTBEFORE(B810," ")),Legend!$B$11:$B$26,Legend!$A$11:$A$26,"NOT FOUND",0,1),_xlfn.TEXTBEFORE(B810," ")))</f>
        <v/>
      </c>
      <c r="D810" s="3" t="str">
        <f t="shared" si="14"/>
        <v/>
      </c>
      <c r="E810" s="159" t="str">
        <f>IF(C810="","",_xlfn.XLOOKUP(C810,Legend!$A$10:$A$26,Legend!$C$10:$C$26,"NOT FOUND",0,1))</f>
        <v/>
      </c>
      <c r="F810" s="160" t="str">
        <f>IF(C810="","",_xlfn.XLOOKUP(D810,Legend!$A$29:$A$118,Legend!$B$29:$B$118,"NOT FOUND",0,1))</f>
        <v/>
      </c>
      <c r="G810" s="268" t="str">
        <f>IF(C810="","",_xlfn.XLOOKUP(D810,Legend!$A$29:$A$118,Legend!$C$29:$C$118,"NOT FOUND",0,1))</f>
        <v/>
      </c>
    </row>
    <row r="811" spans="1:7" x14ac:dyDescent="0.2">
      <c r="A811" s="3">
        <v>1</v>
      </c>
      <c r="C811" s="3" t="str">
        <f>IF(B811="","",IF(ISNUMBER(VALUE(_xlfn.TEXTBEFORE(B811," "))),_xlfn.XLOOKUP(VALUE(_xlfn.TEXTBEFORE(B811," ")),Legend!$B$11:$B$26,Legend!$A$11:$A$26,"NOT FOUND",0,1),_xlfn.TEXTBEFORE(B811," ")))</f>
        <v/>
      </c>
      <c r="D811" s="3" t="str">
        <f t="shared" si="14"/>
        <v/>
      </c>
      <c r="E811" s="159" t="str">
        <f>IF(C811="","",_xlfn.XLOOKUP(C811,Legend!$A$10:$A$26,Legend!$C$10:$C$26,"NOT FOUND",0,1))</f>
        <v/>
      </c>
      <c r="F811" s="160" t="str">
        <f>IF(C811="","",_xlfn.XLOOKUP(D811,Legend!$A$29:$A$118,Legend!$B$29:$B$118,"NOT FOUND",0,1))</f>
        <v/>
      </c>
      <c r="G811" s="268" t="str">
        <f>IF(C811="","",_xlfn.XLOOKUP(D811,Legend!$A$29:$A$118,Legend!$C$29:$C$118,"NOT FOUND",0,1))</f>
        <v/>
      </c>
    </row>
    <row r="812" spans="1:7" x14ac:dyDescent="0.2">
      <c r="A812" s="3">
        <v>1</v>
      </c>
      <c r="C812" s="3" t="str">
        <f>IF(B812="","",IF(ISNUMBER(VALUE(_xlfn.TEXTBEFORE(B812," "))),_xlfn.XLOOKUP(VALUE(_xlfn.TEXTBEFORE(B812," ")),Legend!$B$11:$B$26,Legend!$A$11:$A$26,"NOT FOUND",0,1),_xlfn.TEXTBEFORE(B812," ")))</f>
        <v/>
      </c>
      <c r="D812" s="3" t="str">
        <f t="shared" si="14"/>
        <v/>
      </c>
      <c r="E812" s="159" t="str">
        <f>IF(C812="","",_xlfn.XLOOKUP(C812,Legend!$A$10:$A$26,Legend!$C$10:$C$26,"NOT FOUND",0,1))</f>
        <v/>
      </c>
      <c r="F812" s="160" t="str">
        <f>IF(C812="","",_xlfn.XLOOKUP(D812,Legend!$A$29:$A$118,Legend!$B$29:$B$118,"NOT FOUND",0,1))</f>
        <v/>
      </c>
      <c r="G812" s="268" t="str">
        <f>IF(C812="","",_xlfn.XLOOKUP(D812,Legend!$A$29:$A$118,Legend!$C$29:$C$118,"NOT FOUND",0,1))</f>
        <v/>
      </c>
    </row>
    <row r="813" spans="1:7" x14ac:dyDescent="0.2">
      <c r="A813" s="3">
        <v>1</v>
      </c>
      <c r="C813" s="3" t="str">
        <f>IF(B813="","",IF(ISNUMBER(VALUE(_xlfn.TEXTBEFORE(B813," "))),_xlfn.XLOOKUP(VALUE(_xlfn.TEXTBEFORE(B813," ")),Legend!$B$11:$B$26,Legend!$A$11:$A$26,"NOT FOUND",0,1),_xlfn.TEXTBEFORE(B813," ")))</f>
        <v/>
      </c>
      <c r="D813" s="3" t="str">
        <f t="shared" si="14"/>
        <v/>
      </c>
      <c r="E813" s="159" t="str">
        <f>IF(C813="","",_xlfn.XLOOKUP(C813,Legend!$A$10:$A$26,Legend!$C$10:$C$26,"NOT FOUND",0,1))</f>
        <v/>
      </c>
      <c r="F813" s="160" t="str">
        <f>IF(C813="","",_xlfn.XLOOKUP(D813,Legend!$A$29:$A$118,Legend!$B$29:$B$118,"NOT FOUND",0,1))</f>
        <v/>
      </c>
      <c r="G813" s="268" t="str">
        <f>IF(C813="","",_xlfn.XLOOKUP(D813,Legend!$A$29:$A$118,Legend!$C$29:$C$118,"NOT FOUND",0,1))</f>
        <v/>
      </c>
    </row>
    <row r="814" spans="1:7" x14ac:dyDescent="0.2">
      <c r="A814" s="3">
        <v>1</v>
      </c>
      <c r="C814" s="3" t="str">
        <f>IF(B814="","",IF(ISNUMBER(VALUE(_xlfn.TEXTBEFORE(B814," "))),_xlfn.XLOOKUP(VALUE(_xlfn.TEXTBEFORE(B814," ")),Legend!$B$11:$B$26,Legend!$A$11:$A$26,"NOT FOUND",0,1),_xlfn.TEXTBEFORE(B814," ")))</f>
        <v/>
      </c>
      <c r="D814" s="3" t="str">
        <f t="shared" si="14"/>
        <v/>
      </c>
      <c r="E814" s="159" t="str">
        <f>IF(C814="","",_xlfn.XLOOKUP(C814,Legend!$A$10:$A$26,Legend!$C$10:$C$26,"NOT FOUND",0,1))</f>
        <v/>
      </c>
      <c r="F814" s="160" t="str">
        <f>IF(C814="","",_xlfn.XLOOKUP(D814,Legend!$A$29:$A$118,Legend!$B$29:$B$118,"NOT FOUND",0,1))</f>
        <v/>
      </c>
      <c r="G814" s="268" t="str">
        <f>IF(C814="","",_xlfn.XLOOKUP(D814,Legend!$A$29:$A$118,Legend!$C$29:$C$118,"NOT FOUND",0,1))</f>
        <v/>
      </c>
    </row>
    <row r="815" spans="1:7" x14ac:dyDescent="0.2">
      <c r="A815" s="3">
        <v>1</v>
      </c>
      <c r="C815" s="3" t="str">
        <f>IF(B815="","",IF(ISNUMBER(VALUE(_xlfn.TEXTBEFORE(B815," "))),_xlfn.XLOOKUP(VALUE(_xlfn.TEXTBEFORE(B815," ")),Legend!$B$11:$B$26,Legend!$A$11:$A$26,"NOT FOUND",0,1),_xlfn.TEXTBEFORE(B815," ")))</f>
        <v/>
      </c>
      <c r="D815" s="3" t="str">
        <f t="shared" si="14"/>
        <v/>
      </c>
      <c r="E815" s="159" t="str">
        <f>IF(C815="","",_xlfn.XLOOKUP(C815,Legend!$A$10:$A$26,Legend!$C$10:$C$26,"NOT FOUND",0,1))</f>
        <v/>
      </c>
      <c r="F815" s="160" t="str">
        <f>IF(C815="","",_xlfn.XLOOKUP(D815,Legend!$A$29:$A$118,Legend!$B$29:$B$118,"NOT FOUND",0,1))</f>
        <v/>
      </c>
      <c r="G815" s="268" t="str">
        <f>IF(C815="","",_xlfn.XLOOKUP(D815,Legend!$A$29:$A$118,Legend!$C$29:$C$118,"NOT FOUND",0,1))</f>
        <v/>
      </c>
    </row>
    <row r="816" spans="1:7" x14ac:dyDescent="0.2">
      <c r="A816" s="3">
        <v>1</v>
      </c>
      <c r="C816" s="3" t="str">
        <f>IF(B816="","",IF(ISNUMBER(VALUE(_xlfn.TEXTBEFORE(B816," "))),_xlfn.XLOOKUP(VALUE(_xlfn.TEXTBEFORE(B816," ")),Legend!$B$11:$B$26,Legend!$A$11:$A$26,"NOT FOUND",0,1),_xlfn.TEXTBEFORE(B816," ")))</f>
        <v/>
      </c>
      <c r="D816" s="3" t="str">
        <f t="shared" si="14"/>
        <v/>
      </c>
      <c r="E816" s="159" t="str">
        <f>IF(C816="","",_xlfn.XLOOKUP(C816,Legend!$A$10:$A$26,Legend!$C$10:$C$26,"NOT FOUND",0,1))</f>
        <v/>
      </c>
      <c r="F816" s="160" t="str">
        <f>IF(C816="","",_xlfn.XLOOKUP(D816,Legend!$A$29:$A$118,Legend!$B$29:$B$118,"NOT FOUND",0,1))</f>
        <v/>
      </c>
      <c r="G816" s="268" t="str">
        <f>IF(C816="","",_xlfn.XLOOKUP(D816,Legend!$A$29:$A$118,Legend!$C$29:$C$118,"NOT FOUND",0,1))</f>
        <v/>
      </c>
    </row>
    <row r="817" spans="1:7" x14ac:dyDescent="0.2">
      <c r="A817" s="3">
        <v>1</v>
      </c>
      <c r="C817" s="3" t="str">
        <f>IF(B817="","",IF(ISNUMBER(VALUE(_xlfn.TEXTBEFORE(B817," "))),_xlfn.XLOOKUP(VALUE(_xlfn.TEXTBEFORE(B817," ")),Legend!$B$11:$B$26,Legend!$A$11:$A$26,"NOT FOUND",0,1),_xlfn.TEXTBEFORE(B817," ")))</f>
        <v/>
      </c>
      <c r="D817" s="3" t="str">
        <f t="shared" si="14"/>
        <v/>
      </c>
      <c r="E817" s="159" t="str">
        <f>IF(C817="","",_xlfn.XLOOKUP(C817,Legend!$A$10:$A$26,Legend!$C$10:$C$26,"NOT FOUND",0,1))</f>
        <v/>
      </c>
      <c r="F817" s="160" t="str">
        <f>IF(C817="","",_xlfn.XLOOKUP(D817,Legend!$A$29:$A$118,Legend!$B$29:$B$118,"NOT FOUND",0,1))</f>
        <v/>
      </c>
      <c r="G817" s="268" t="str">
        <f>IF(C817="","",_xlfn.XLOOKUP(D817,Legend!$A$29:$A$118,Legend!$C$29:$C$118,"NOT FOUND",0,1))</f>
        <v/>
      </c>
    </row>
    <row r="818" spans="1:7" x14ac:dyDescent="0.2">
      <c r="A818" s="3">
        <v>1</v>
      </c>
      <c r="C818" s="3" t="str">
        <f>IF(B818="","",IF(ISNUMBER(VALUE(_xlfn.TEXTBEFORE(B818," "))),_xlfn.XLOOKUP(VALUE(_xlfn.TEXTBEFORE(B818," ")),Legend!$B$11:$B$26,Legend!$A$11:$A$26,"NOT FOUND",0,1),_xlfn.TEXTBEFORE(B818," ")))</f>
        <v/>
      </c>
      <c r="D818" s="3" t="str">
        <f t="shared" si="14"/>
        <v/>
      </c>
      <c r="E818" s="159" t="str">
        <f>IF(C818="","",_xlfn.XLOOKUP(C818,Legend!$A$10:$A$26,Legend!$C$10:$C$26,"NOT FOUND",0,1))</f>
        <v/>
      </c>
      <c r="F818" s="160" t="str">
        <f>IF(C818="","",_xlfn.XLOOKUP(D818,Legend!$A$29:$A$118,Legend!$B$29:$B$118,"NOT FOUND",0,1))</f>
        <v/>
      </c>
      <c r="G818" s="268" t="str">
        <f>IF(C818="","",_xlfn.XLOOKUP(D818,Legend!$A$29:$A$118,Legend!$C$29:$C$118,"NOT FOUND",0,1))</f>
        <v/>
      </c>
    </row>
    <row r="819" spans="1:7" x14ac:dyDescent="0.2">
      <c r="A819" s="3">
        <v>1</v>
      </c>
      <c r="C819" s="3" t="str">
        <f>IF(B819="","",IF(ISNUMBER(VALUE(_xlfn.TEXTBEFORE(B819," "))),_xlfn.XLOOKUP(VALUE(_xlfn.TEXTBEFORE(B819," ")),Legend!$B$11:$B$26,Legend!$A$11:$A$26,"NOT FOUND",0,1),_xlfn.TEXTBEFORE(B819," ")))</f>
        <v/>
      </c>
      <c r="D819" s="3" t="str">
        <f t="shared" si="14"/>
        <v/>
      </c>
      <c r="E819" s="159" t="str">
        <f>IF(C819="","",_xlfn.XLOOKUP(C819,Legend!$A$10:$A$26,Legend!$C$10:$C$26,"NOT FOUND",0,1))</f>
        <v/>
      </c>
      <c r="F819" s="160" t="str">
        <f>IF(C819="","",_xlfn.XLOOKUP(D819,Legend!$A$29:$A$118,Legend!$B$29:$B$118,"NOT FOUND",0,1))</f>
        <v/>
      </c>
      <c r="G819" s="268" t="str">
        <f>IF(C819="","",_xlfn.XLOOKUP(D819,Legend!$A$29:$A$118,Legend!$C$29:$C$118,"NOT FOUND",0,1))</f>
        <v/>
      </c>
    </row>
    <row r="820" spans="1:7" x14ac:dyDescent="0.2">
      <c r="A820" s="3">
        <v>1</v>
      </c>
      <c r="C820" s="3" t="str">
        <f>IF(B820="","",IF(ISNUMBER(VALUE(_xlfn.TEXTBEFORE(B820," "))),_xlfn.XLOOKUP(VALUE(_xlfn.TEXTBEFORE(B820," ")),Legend!$B$11:$B$26,Legend!$A$11:$A$26,"NOT FOUND",0,1),_xlfn.TEXTBEFORE(B820," ")))</f>
        <v/>
      </c>
      <c r="D820" s="3" t="str">
        <f t="shared" si="14"/>
        <v/>
      </c>
      <c r="E820" s="159" t="str">
        <f>IF(C820="","",_xlfn.XLOOKUP(C820,Legend!$A$10:$A$26,Legend!$C$10:$C$26,"NOT FOUND",0,1))</f>
        <v/>
      </c>
      <c r="F820" s="160" t="str">
        <f>IF(C820="","",_xlfn.XLOOKUP(D820,Legend!$A$29:$A$118,Legend!$B$29:$B$118,"NOT FOUND",0,1))</f>
        <v/>
      </c>
      <c r="G820" s="268" t="str">
        <f>IF(C820="","",_xlfn.XLOOKUP(D820,Legend!$A$29:$A$118,Legend!$C$29:$C$118,"NOT FOUND",0,1))</f>
        <v/>
      </c>
    </row>
    <row r="821" spans="1:7" x14ac:dyDescent="0.2">
      <c r="A821" s="3">
        <v>1</v>
      </c>
      <c r="C821" s="3" t="str">
        <f>IF(B821="","",IF(ISNUMBER(VALUE(_xlfn.TEXTBEFORE(B821," "))),_xlfn.XLOOKUP(VALUE(_xlfn.TEXTBEFORE(B821," ")),Legend!$B$11:$B$26,Legend!$A$11:$A$26,"NOT FOUND",0,1),_xlfn.TEXTBEFORE(B821," ")))</f>
        <v/>
      </c>
      <c r="D821" s="3" t="str">
        <f t="shared" si="14"/>
        <v/>
      </c>
      <c r="E821" s="159" t="str">
        <f>IF(C821="","",_xlfn.XLOOKUP(C821,Legend!$A$10:$A$26,Legend!$C$10:$C$26,"NOT FOUND",0,1))</f>
        <v/>
      </c>
      <c r="F821" s="160" t="str">
        <f>IF(C821="","",_xlfn.XLOOKUP(D821,Legend!$A$29:$A$118,Legend!$B$29:$B$118,"NOT FOUND",0,1))</f>
        <v/>
      </c>
      <c r="G821" s="268" t="str">
        <f>IF(C821="","",_xlfn.XLOOKUP(D821,Legend!$A$29:$A$118,Legend!$C$29:$C$118,"NOT FOUND",0,1))</f>
        <v/>
      </c>
    </row>
    <row r="822" spans="1:7" x14ac:dyDescent="0.2">
      <c r="A822" s="3">
        <v>1</v>
      </c>
      <c r="C822" s="3" t="str">
        <f>IF(B822="","",IF(ISNUMBER(VALUE(_xlfn.TEXTBEFORE(B822," "))),_xlfn.XLOOKUP(VALUE(_xlfn.TEXTBEFORE(B822," ")),Legend!$B$11:$B$26,Legend!$A$11:$A$26,"NOT FOUND",0,1),_xlfn.TEXTBEFORE(B822," ")))</f>
        <v/>
      </c>
      <c r="D822" s="3" t="str">
        <f t="shared" si="14"/>
        <v/>
      </c>
      <c r="E822" s="159" t="str">
        <f>IF(C822="","",_xlfn.XLOOKUP(C822,Legend!$A$10:$A$26,Legend!$C$10:$C$26,"NOT FOUND",0,1))</f>
        <v/>
      </c>
      <c r="F822" s="160" t="str">
        <f>IF(C822="","",_xlfn.XLOOKUP(D822,Legend!$A$29:$A$118,Legend!$B$29:$B$118,"NOT FOUND",0,1))</f>
        <v/>
      </c>
      <c r="G822" s="268" t="str">
        <f>IF(C822="","",_xlfn.XLOOKUP(D822,Legend!$A$29:$A$118,Legend!$C$29:$C$118,"NOT FOUND",0,1))</f>
        <v/>
      </c>
    </row>
    <row r="823" spans="1:7" x14ac:dyDescent="0.2">
      <c r="A823" s="3">
        <v>1</v>
      </c>
      <c r="C823" s="3" t="str">
        <f>IF(B823="","",IF(ISNUMBER(VALUE(_xlfn.TEXTBEFORE(B823," "))),_xlfn.XLOOKUP(VALUE(_xlfn.TEXTBEFORE(B823," ")),Legend!$B$11:$B$26,Legend!$A$11:$A$26,"NOT FOUND",0,1),_xlfn.TEXTBEFORE(B823," ")))</f>
        <v/>
      </c>
      <c r="D823" s="3" t="str">
        <f t="shared" si="14"/>
        <v/>
      </c>
      <c r="E823" s="159" t="str">
        <f>IF(C823="","",_xlfn.XLOOKUP(C823,Legend!$A$10:$A$26,Legend!$C$10:$C$26,"NOT FOUND",0,1))</f>
        <v/>
      </c>
      <c r="F823" s="160" t="str">
        <f>IF(C823="","",_xlfn.XLOOKUP(D823,Legend!$A$29:$A$118,Legend!$B$29:$B$118,"NOT FOUND",0,1))</f>
        <v/>
      </c>
      <c r="G823" s="268" t="str">
        <f>IF(C823="","",_xlfn.XLOOKUP(D823,Legend!$A$29:$A$118,Legend!$C$29:$C$118,"NOT FOUND",0,1))</f>
        <v/>
      </c>
    </row>
    <row r="824" spans="1:7" x14ac:dyDescent="0.2">
      <c r="A824" s="3">
        <v>1</v>
      </c>
      <c r="C824" s="3" t="str">
        <f>IF(B824="","",IF(ISNUMBER(VALUE(_xlfn.TEXTBEFORE(B824," "))),_xlfn.XLOOKUP(VALUE(_xlfn.TEXTBEFORE(B824," ")),Legend!$B$11:$B$26,Legend!$A$11:$A$26,"NOT FOUND",0,1),_xlfn.TEXTBEFORE(B824," ")))</f>
        <v/>
      </c>
      <c r="D824" s="3" t="str">
        <f t="shared" si="14"/>
        <v/>
      </c>
      <c r="E824" s="159" t="str">
        <f>IF(C824="","",_xlfn.XLOOKUP(C824,Legend!$A$10:$A$26,Legend!$C$10:$C$26,"NOT FOUND",0,1))</f>
        <v/>
      </c>
      <c r="F824" s="160" t="str">
        <f>IF(C824="","",_xlfn.XLOOKUP(D824,Legend!$A$29:$A$118,Legend!$B$29:$B$118,"NOT FOUND",0,1))</f>
        <v/>
      </c>
      <c r="G824" s="268" t="str">
        <f>IF(C824="","",_xlfn.XLOOKUP(D824,Legend!$A$29:$A$118,Legend!$C$29:$C$118,"NOT FOUND",0,1))</f>
        <v/>
      </c>
    </row>
    <row r="825" spans="1:7" x14ac:dyDescent="0.2">
      <c r="A825" s="3">
        <v>1</v>
      </c>
      <c r="C825" s="3" t="str">
        <f>IF(B825="","",IF(ISNUMBER(VALUE(_xlfn.TEXTBEFORE(B825," "))),_xlfn.XLOOKUP(VALUE(_xlfn.TEXTBEFORE(B825," ")),Legend!$B$11:$B$26,Legend!$A$11:$A$26,"NOT FOUND",0,1),_xlfn.TEXTBEFORE(B825," ")))</f>
        <v/>
      </c>
      <c r="D825" s="3" t="str">
        <f t="shared" si="14"/>
        <v/>
      </c>
      <c r="E825" s="159" t="str">
        <f>IF(C825="","",_xlfn.XLOOKUP(C825,Legend!$A$10:$A$26,Legend!$C$10:$C$26,"NOT FOUND",0,1))</f>
        <v/>
      </c>
      <c r="F825" s="160" t="str">
        <f>IF(C825="","",_xlfn.XLOOKUP(D825,Legend!$A$29:$A$118,Legend!$B$29:$B$118,"NOT FOUND",0,1))</f>
        <v/>
      </c>
      <c r="G825" s="268" t="str">
        <f>IF(C825="","",_xlfn.XLOOKUP(D825,Legend!$A$29:$A$118,Legend!$C$29:$C$118,"NOT FOUND",0,1))</f>
        <v/>
      </c>
    </row>
    <row r="826" spans="1:7" x14ac:dyDescent="0.2">
      <c r="A826" s="3">
        <v>1</v>
      </c>
      <c r="C826" s="3" t="str">
        <f>IF(B826="","",IF(ISNUMBER(VALUE(_xlfn.TEXTBEFORE(B826," "))),_xlfn.XLOOKUP(VALUE(_xlfn.TEXTBEFORE(B826," ")),Legend!$B$11:$B$26,Legend!$A$11:$A$26,"NOT FOUND",0,1),_xlfn.TEXTBEFORE(B826," ")))</f>
        <v/>
      </c>
      <c r="D826" s="3" t="str">
        <f t="shared" si="14"/>
        <v/>
      </c>
      <c r="E826" s="159" t="str">
        <f>IF(C826="","",_xlfn.XLOOKUP(C826,Legend!$A$10:$A$26,Legend!$C$10:$C$26,"NOT FOUND",0,1))</f>
        <v/>
      </c>
      <c r="F826" s="160" t="str">
        <f>IF(C826="","",_xlfn.XLOOKUP(D826,Legend!$A$29:$A$118,Legend!$B$29:$B$118,"NOT FOUND",0,1))</f>
        <v/>
      </c>
      <c r="G826" s="268" t="str">
        <f>IF(C826="","",_xlfn.XLOOKUP(D826,Legend!$A$29:$A$118,Legend!$C$29:$C$118,"NOT FOUND",0,1))</f>
        <v/>
      </c>
    </row>
    <row r="827" spans="1:7" x14ac:dyDescent="0.2">
      <c r="A827" s="3">
        <v>1</v>
      </c>
      <c r="C827" s="3" t="str">
        <f>IF(B827="","",IF(ISNUMBER(VALUE(_xlfn.TEXTBEFORE(B827," "))),_xlfn.XLOOKUP(VALUE(_xlfn.TEXTBEFORE(B827," ")),Legend!$B$11:$B$26,Legend!$A$11:$A$26,"NOT FOUND",0,1),_xlfn.TEXTBEFORE(B827," ")))</f>
        <v/>
      </c>
      <c r="D827" s="3" t="str">
        <f t="shared" si="14"/>
        <v/>
      </c>
      <c r="E827" s="159" t="str">
        <f>IF(C827="","",_xlfn.XLOOKUP(C827,Legend!$A$10:$A$26,Legend!$C$10:$C$26,"NOT FOUND",0,1))</f>
        <v/>
      </c>
      <c r="F827" s="160" t="str">
        <f>IF(C827="","",_xlfn.XLOOKUP(D827,Legend!$A$29:$A$118,Legend!$B$29:$B$118,"NOT FOUND",0,1))</f>
        <v/>
      </c>
      <c r="G827" s="268" t="str">
        <f>IF(C827="","",_xlfn.XLOOKUP(D827,Legend!$A$29:$A$118,Legend!$C$29:$C$118,"NOT FOUND",0,1))</f>
        <v/>
      </c>
    </row>
    <row r="828" spans="1:7" x14ac:dyDescent="0.2">
      <c r="A828" s="3">
        <v>1</v>
      </c>
      <c r="C828" s="3" t="str">
        <f>IF(B828="","",IF(ISNUMBER(VALUE(_xlfn.TEXTBEFORE(B828," "))),_xlfn.XLOOKUP(VALUE(_xlfn.TEXTBEFORE(B828," ")),Legend!$B$11:$B$26,Legend!$A$11:$A$26,"NOT FOUND",0,1),_xlfn.TEXTBEFORE(B828," ")))</f>
        <v/>
      </c>
      <c r="D828" s="3" t="str">
        <f t="shared" si="14"/>
        <v/>
      </c>
      <c r="E828" s="159" t="str">
        <f>IF(C828="","",_xlfn.XLOOKUP(C828,Legend!$A$10:$A$26,Legend!$C$10:$C$26,"NOT FOUND",0,1))</f>
        <v/>
      </c>
      <c r="F828" s="160" t="str">
        <f>IF(C828="","",_xlfn.XLOOKUP(D828,Legend!$A$29:$A$118,Legend!$B$29:$B$118,"NOT FOUND",0,1))</f>
        <v/>
      </c>
      <c r="G828" s="268" t="str">
        <f>IF(C828="","",_xlfn.XLOOKUP(D828,Legend!$A$29:$A$118,Legend!$C$29:$C$118,"NOT FOUND",0,1))</f>
        <v/>
      </c>
    </row>
    <row r="829" spans="1:7" x14ac:dyDescent="0.2">
      <c r="A829" s="3">
        <v>1</v>
      </c>
      <c r="C829" s="3" t="str">
        <f>IF(B829="","",IF(ISNUMBER(VALUE(_xlfn.TEXTBEFORE(B829," "))),_xlfn.XLOOKUP(VALUE(_xlfn.TEXTBEFORE(B829," ")),Legend!$B$11:$B$26,Legend!$A$11:$A$26,"NOT FOUND",0,1),_xlfn.TEXTBEFORE(B829," ")))</f>
        <v/>
      </c>
      <c r="D829" s="3" t="str">
        <f t="shared" si="14"/>
        <v/>
      </c>
      <c r="E829" s="159" t="str">
        <f>IF(C829="","",_xlfn.XLOOKUP(C829,Legend!$A$10:$A$26,Legend!$C$10:$C$26,"NOT FOUND",0,1))</f>
        <v/>
      </c>
      <c r="F829" s="160" t="str">
        <f>IF(C829="","",_xlfn.XLOOKUP(D829,Legend!$A$29:$A$118,Legend!$B$29:$B$118,"NOT FOUND",0,1))</f>
        <v/>
      </c>
      <c r="G829" s="268" t="str">
        <f>IF(C829="","",_xlfn.XLOOKUP(D829,Legend!$A$29:$A$118,Legend!$C$29:$C$118,"NOT FOUND",0,1))</f>
        <v/>
      </c>
    </row>
    <row r="830" spans="1:7" x14ac:dyDescent="0.2">
      <c r="A830" s="3">
        <v>1</v>
      </c>
      <c r="C830" s="3" t="str">
        <f>IF(B830="","",IF(ISNUMBER(VALUE(_xlfn.TEXTBEFORE(B830," "))),_xlfn.XLOOKUP(VALUE(_xlfn.TEXTBEFORE(B830," ")),Legend!$B$11:$B$26,Legend!$A$11:$A$26,"NOT FOUND",0,1),_xlfn.TEXTBEFORE(B830," ")))</f>
        <v/>
      </c>
      <c r="D830" s="3" t="str">
        <f t="shared" si="14"/>
        <v/>
      </c>
      <c r="E830" s="159" t="str">
        <f>IF(C830="","",_xlfn.XLOOKUP(C830,Legend!$A$10:$A$26,Legend!$C$10:$C$26,"NOT FOUND",0,1))</f>
        <v/>
      </c>
      <c r="F830" s="160" t="str">
        <f>IF(C830="","",_xlfn.XLOOKUP(D830,Legend!$A$29:$A$118,Legend!$B$29:$B$118,"NOT FOUND",0,1))</f>
        <v/>
      </c>
      <c r="G830" s="268" t="str">
        <f>IF(C830="","",_xlfn.XLOOKUP(D830,Legend!$A$29:$A$118,Legend!$C$29:$C$118,"NOT FOUND",0,1))</f>
        <v/>
      </c>
    </row>
    <row r="831" spans="1:7" x14ac:dyDescent="0.2">
      <c r="A831" s="3">
        <v>1</v>
      </c>
      <c r="C831" s="3" t="str">
        <f>IF(B831="","",IF(ISNUMBER(VALUE(_xlfn.TEXTBEFORE(B831," "))),_xlfn.XLOOKUP(VALUE(_xlfn.TEXTBEFORE(B831," ")),Legend!$B$11:$B$26,Legend!$A$11:$A$26,"NOT FOUND",0,1),_xlfn.TEXTBEFORE(B831," ")))</f>
        <v/>
      </c>
      <c r="D831" s="3" t="str">
        <f t="shared" si="14"/>
        <v/>
      </c>
      <c r="E831" s="159" t="str">
        <f>IF(C831="","",_xlfn.XLOOKUP(C831,Legend!$A$10:$A$26,Legend!$C$10:$C$26,"NOT FOUND",0,1))</f>
        <v/>
      </c>
      <c r="F831" s="160" t="str">
        <f>IF(C831="","",_xlfn.XLOOKUP(D831,Legend!$A$29:$A$118,Legend!$B$29:$B$118,"NOT FOUND",0,1))</f>
        <v/>
      </c>
      <c r="G831" s="268" t="str">
        <f>IF(C831="","",_xlfn.XLOOKUP(D831,Legend!$A$29:$A$118,Legend!$C$29:$C$118,"NOT FOUND",0,1))</f>
        <v/>
      </c>
    </row>
    <row r="832" spans="1:7" x14ac:dyDescent="0.2">
      <c r="A832" s="3">
        <v>1</v>
      </c>
      <c r="C832" s="3" t="str">
        <f>IF(B832="","",IF(ISNUMBER(VALUE(_xlfn.TEXTBEFORE(B832," "))),_xlfn.XLOOKUP(VALUE(_xlfn.TEXTBEFORE(B832," ")),Legend!$B$11:$B$26,Legend!$A$11:$A$26,"NOT FOUND",0,1),_xlfn.TEXTBEFORE(B832," ")))</f>
        <v/>
      </c>
      <c r="D832" s="3" t="str">
        <f t="shared" si="14"/>
        <v/>
      </c>
      <c r="E832" s="159" t="str">
        <f>IF(C832="","",_xlfn.XLOOKUP(C832,Legend!$A$10:$A$26,Legend!$C$10:$C$26,"NOT FOUND",0,1))</f>
        <v/>
      </c>
      <c r="F832" s="160" t="str">
        <f>IF(C832="","",_xlfn.XLOOKUP(D832,Legend!$A$29:$A$118,Legend!$B$29:$B$118,"NOT FOUND",0,1))</f>
        <v/>
      </c>
      <c r="G832" s="268" t="str">
        <f>IF(C832="","",_xlfn.XLOOKUP(D832,Legend!$A$29:$A$118,Legend!$C$29:$C$118,"NOT FOUND",0,1))</f>
        <v/>
      </c>
    </row>
    <row r="833" spans="1:7" x14ac:dyDescent="0.2">
      <c r="A833" s="3">
        <v>1</v>
      </c>
      <c r="C833" s="3" t="str">
        <f>IF(B833="","",IF(ISNUMBER(VALUE(_xlfn.TEXTBEFORE(B833," "))),_xlfn.XLOOKUP(VALUE(_xlfn.TEXTBEFORE(B833," ")),Legend!$B$11:$B$26,Legend!$A$11:$A$26,"NOT FOUND",0,1),_xlfn.TEXTBEFORE(B833," ")))</f>
        <v/>
      </c>
      <c r="D833" s="3" t="str">
        <f t="shared" si="14"/>
        <v/>
      </c>
      <c r="E833" s="159" t="str">
        <f>IF(C833="","",_xlfn.XLOOKUP(C833,Legend!$A$10:$A$26,Legend!$C$10:$C$26,"NOT FOUND",0,1))</f>
        <v/>
      </c>
      <c r="F833" s="160" t="str">
        <f>IF(C833="","",_xlfn.XLOOKUP(D833,Legend!$A$29:$A$118,Legend!$B$29:$B$118,"NOT FOUND",0,1))</f>
        <v/>
      </c>
      <c r="G833" s="268" t="str">
        <f>IF(C833="","",_xlfn.XLOOKUP(D833,Legend!$A$29:$A$118,Legend!$C$29:$C$118,"NOT FOUND",0,1))</f>
        <v/>
      </c>
    </row>
    <row r="834" spans="1:7" x14ac:dyDescent="0.2">
      <c r="A834" s="3">
        <v>1</v>
      </c>
      <c r="C834" s="3" t="str">
        <f>IF(B834="","",IF(ISNUMBER(VALUE(_xlfn.TEXTBEFORE(B834," "))),_xlfn.XLOOKUP(VALUE(_xlfn.TEXTBEFORE(B834," ")),Legend!$B$11:$B$26,Legend!$A$11:$A$26,"NOT FOUND",0,1),_xlfn.TEXTBEFORE(B834," ")))</f>
        <v/>
      </c>
      <c r="D834" s="3" t="str">
        <f t="shared" si="14"/>
        <v/>
      </c>
      <c r="E834" s="159" t="str">
        <f>IF(C834="","",_xlfn.XLOOKUP(C834,Legend!$A$10:$A$26,Legend!$C$10:$C$26,"NOT FOUND",0,1))</f>
        <v/>
      </c>
      <c r="F834" s="160" t="str">
        <f>IF(C834="","",_xlfn.XLOOKUP(D834,Legend!$A$29:$A$118,Legend!$B$29:$B$118,"NOT FOUND",0,1))</f>
        <v/>
      </c>
      <c r="G834" s="268" t="str">
        <f>IF(C834="","",_xlfn.XLOOKUP(D834,Legend!$A$29:$A$118,Legend!$C$29:$C$118,"NOT FOUND",0,1))</f>
        <v/>
      </c>
    </row>
    <row r="835" spans="1:7" x14ac:dyDescent="0.2">
      <c r="A835" s="3">
        <v>1</v>
      </c>
      <c r="C835" s="3" t="str">
        <f>IF(B835="","",IF(ISNUMBER(VALUE(_xlfn.TEXTBEFORE(B835," "))),_xlfn.XLOOKUP(VALUE(_xlfn.TEXTBEFORE(B835," ")),Legend!$B$11:$B$26,Legend!$A$11:$A$26,"NOT FOUND",0,1),_xlfn.TEXTBEFORE(B835," ")))</f>
        <v/>
      </c>
      <c r="D835" s="3" t="str">
        <f t="shared" si="14"/>
        <v/>
      </c>
      <c r="E835" s="159" t="str">
        <f>IF(C835="","",_xlfn.XLOOKUP(C835,Legend!$A$10:$A$26,Legend!$C$10:$C$26,"NOT FOUND",0,1))</f>
        <v/>
      </c>
      <c r="F835" s="160" t="str">
        <f>IF(C835="","",_xlfn.XLOOKUP(D835,Legend!$A$29:$A$118,Legend!$B$29:$B$118,"NOT FOUND",0,1))</f>
        <v/>
      </c>
      <c r="G835" s="268" t="str">
        <f>IF(C835="","",_xlfn.XLOOKUP(D835,Legend!$A$29:$A$118,Legend!$C$29:$C$118,"NOT FOUND",0,1))</f>
        <v/>
      </c>
    </row>
    <row r="836" spans="1:7" x14ac:dyDescent="0.2">
      <c r="A836" s="3">
        <v>1</v>
      </c>
      <c r="C836" s="3" t="str">
        <f>IF(B836="","",IF(ISNUMBER(VALUE(_xlfn.TEXTBEFORE(B836," "))),_xlfn.XLOOKUP(VALUE(_xlfn.TEXTBEFORE(B836," ")),Legend!$B$11:$B$26,Legend!$A$11:$A$26,"NOT FOUND",0,1),_xlfn.TEXTBEFORE(B836," ")))</f>
        <v/>
      </c>
      <c r="D836" s="3" t="str">
        <f t="shared" si="14"/>
        <v/>
      </c>
      <c r="E836" s="159" t="str">
        <f>IF(C836="","",_xlfn.XLOOKUP(C836,Legend!$A$10:$A$26,Legend!$C$10:$C$26,"NOT FOUND",0,1))</f>
        <v/>
      </c>
      <c r="F836" s="160" t="str">
        <f>IF(C836="","",_xlfn.XLOOKUP(D836,Legend!$A$29:$A$118,Legend!$B$29:$B$118,"NOT FOUND",0,1))</f>
        <v/>
      </c>
      <c r="G836" s="268" t="str">
        <f>IF(C836="","",_xlfn.XLOOKUP(D836,Legend!$A$29:$A$118,Legend!$C$29:$C$118,"NOT FOUND",0,1))</f>
        <v/>
      </c>
    </row>
    <row r="837" spans="1:7" x14ac:dyDescent="0.2">
      <c r="A837" s="3">
        <v>1</v>
      </c>
      <c r="C837" s="3" t="str">
        <f>IF(B837="","",IF(ISNUMBER(VALUE(_xlfn.TEXTBEFORE(B837," "))),_xlfn.XLOOKUP(VALUE(_xlfn.TEXTBEFORE(B837," ")),Legend!$B$11:$B$26,Legend!$A$11:$A$26,"NOT FOUND",0,1),_xlfn.TEXTBEFORE(B837," ")))</f>
        <v/>
      </c>
      <c r="D837" s="3" t="str">
        <f t="shared" si="14"/>
        <v/>
      </c>
      <c r="E837" s="159" t="str">
        <f>IF(C837="","",_xlfn.XLOOKUP(C837,Legend!$A$10:$A$26,Legend!$C$10:$C$26,"NOT FOUND",0,1))</f>
        <v/>
      </c>
      <c r="F837" s="160" t="str">
        <f>IF(C837="","",_xlfn.XLOOKUP(D837,Legend!$A$29:$A$118,Legend!$B$29:$B$118,"NOT FOUND",0,1))</f>
        <v/>
      </c>
      <c r="G837" s="268" t="str">
        <f>IF(C837="","",_xlfn.XLOOKUP(D837,Legend!$A$29:$A$118,Legend!$C$29:$C$118,"NOT FOUND",0,1))</f>
        <v/>
      </c>
    </row>
    <row r="838" spans="1:7" x14ac:dyDescent="0.2">
      <c r="A838" s="3">
        <v>1</v>
      </c>
      <c r="C838" s="3" t="str">
        <f>IF(B838="","",IF(ISNUMBER(VALUE(_xlfn.TEXTBEFORE(B838," "))),_xlfn.XLOOKUP(VALUE(_xlfn.TEXTBEFORE(B838," ")),Legend!$B$11:$B$26,Legend!$A$11:$A$26,"NOT FOUND",0,1),_xlfn.TEXTBEFORE(B838," ")))</f>
        <v/>
      </c>
      <c r="D838" s="3" t="str">
        <f t="shared" ref="D838:D882" si="15">IF(B838="","",_xlfn.TEXTAFTER(B838," "))</f>
        <v/>
      </c>
      <c r="E838" s="159" t="str">
        <f>IF(C838="","",_xlfn.XLOOKUP(C838,Legend!$A$10:$A$26,Legend!$C$10:$C$26,"NOT FOUND",0,1))</f>
        <v/>
      </c>
      <c r="F838" s="160" t="str">
        <f>IF(C838="","",_xlfn.XLOOKUP(D838,Legend!$A$29:$A$118,Legend!$B$29:$B$118,"NOT FOUND",0,1))</f>
        <v/>
      </c>
      <c r="G838" s="268" t="str">
        <f>IF(C838="","",_xlfn.XLOOKUP(D838,Legend!$A$29:$A$118,Legend!$C$29:$C$118,"NOT FOUND",0,1))</f>
        <v/>
      </c>
    </row>
    <row r="839" spans="1:7" x14ac:dyDescent="0.2">
      <c r="A839" s="3">
        <v>1</v>
      </c>
      <c r="C839" s="3" t="str">
        <f>IF(B839="","",IF(ISNUMBER(VALUE(_xlfn.TEXTBEFORE(B839," "))),_xlfn.XLOOKUP(VALUE(_xlfn.TEXTBEFORE(B839," ")),Legend!$B$11:$B$26,Legend!$A$11:$A$26,"NOT FOUND",0,1),_xlfn.TEXTBEFORE(B839," ")))</f>
        <v/>
      </c>
      <c r="D839" s="3" t="str">
        <f t="shared" si="15"/>
        <v/>
      </c>
      <c r="E839" s="159" t="str">
        <f>IF(C839="","",_xlfn.XLOOKUP(C839,Legend!$A$10:$A$26,Legend!$C$10:$C$26,"NOT FOUND",0,1))</f>
        <v/>
      </c>
      <c r="F839" s="160" t="str">
        <f>IF(C839="","",_xlfn.XLOOKUP(D839,Legend!$A$29:$A$118,Legend!$B$29:$B$118,"NOT FOUND",0,1))</f>
        <v/>
      </c>
      <c r="G839" s="268" t="str">
        <f>IF(C839="","",_xlfn.XLOOKUP(D839,Legend!$A$29:$A$118,Legend!$C$29:$C$118,"NOT FOUND",0,1))</f>
        <v/>
      </c>
    </row>
    <row r="840" spans="1:7" x14ac:dyDescent="0.2">
      <c r="A840" s="3">
        <v>1</v>
      </c>
      <c r="C840" s="3" t="str">
        <f>IF(B840="","",IF(ISNUMBER(VALUE(_xlfn.TEXTBEFORE(B840," "))),_xlfn.XLOOKUP(VALUE(_xlfn.TEXTBEFORE(B840," ")),Legend!$B$11:$B$26,Legend!$A$11:$A$26,"NOT FOUND",0,1),_xlfn.TEXTBEFORE(B840," ")))</f>
        <v/>
      </c>
      <c r="D840" s="3" t="str">
        <f t="shared" si="15"/>
        <v/>
      </c>
      <c r="E840" s="159" t="str">
        <f>IF(C840="","",_xlfn.XLOOKUP(C840,Legend!$A$10:$A$26,Legend!$C$10:$C$26,"NOT FOUND",0,1))</f>
        <v/>
      </c>
      <c r="F840" s="160" t="str">
        <f>IF(C840="","",_xlfn.XLOOKUP(D840,Legend!$A$29:$A$118,Legend!$B$29:$B$118,"NOT FOUND",0,1))</f>
        <v/>
      </c>
      <c r="G840" s="268" t="str">
        <f>IF(C840="","",_xlfn.XLOOKUP(D840,Legend!$A$29:$A$118,Legend!$C$29:$C$118,"NOT FOUND",0,1))</f>
        <v/>
      </c>
    </row>
    <row r="841" spans="1:7" x14ac:dyDescent="0.2">
      <c r="A841" s="3">
        <v>1</v>
      </c>
      <c r="C841" s="3" t="str">
        <f>IF(B841="","",IF(ISNUMBER(VALUE(_xlfn.TEXTBEFORE(B841," "))),_xlfn.XLOOKUP(VALUE(_xlfn.TEXTBEFORE(B841," ")),Legend!$B$11:$B$26,Legend!$A$11:$A$26,"NOT FOUND",0,1),_xlfn.TEXTBEFORE(B841," ")))</f>
        <v/>
      </c>
      <c r="D841" s="3" t="str">
        <f t="shared" si="15"/>
        <v/>
      </c>
      <c r="E841" s="159" t="str">
        <f>IF(C841="","",_xlfn.XLOOKUP(C841,Legend!$A$10:$A$26,Legend!$C$10:$C$26,"NOT FOUND",0,1))</f>
        <v/>
      </c>
      <c r="F841" s="160" t="str">
        <f>IF(C841="","",_xlfn.XLOOKUP(D841,Legend!$A$29:$A$118,Legend!$B$29:$B$118,"NOT FOUND",0,1))</f>
        <v/>
      </c>
      <c r="G841" s="268" t="str">
        <f>IF(C841="","",_xlfn.XLOOKUP(D841,Legend!$A$29:$A$118,Legend!$C$29:$C$118,"NOT FOUND",0,1))</f>
        <v/>
      </c>
    </row>
    <row r="842" spans="1:7" x14ac:dyDescent="0.2">
      <c r="A842" s="3">
        <v>1</v>
      </c>
      <c r="C842" s="3" t="str">
        <f>IF(B842="","",IF(ISNUMBER(VALUE(_xlfn.TEXTBEFORE(B842," "))),_xlfn.XLOOKUP(VALUE(_xlfn.TEXTBEFORE(B842," ")),Legend!$B$11:$B$26,Legend!$A$11:$A$26,"NOT FOUND",0,1),_xlfn.TEXTBEFORE(B842," ")))</f>
        <v/>
      </c>
      <c r="D842" s="3" t="str">
        <f t="shared" si="15"/>
        <v/>
      </c>
      <c r="E842" s="159" t="str">
        <f>IF(C842="","",_xlfn.XLOOKUP(C842,Legend!$A$10:$A$26,Legend!$C$10:$C$26,"NOT FOUND",0,1))</f>
        <v/>
      </c>
      <c r="F842" s="160" t="str">
        <f>IF(C842="","",_xlfn.XLOOKUP(D842,Legend!$A$29:$A$118,Legend!$B$29:$B$118,"NOT FOUND",0,1))</f>
        <v/>
      </c>
      <c r="G842" s="268" t="str">
        <f>IF(C842="","",_xlfn.XLOOKUP(D842,Legend!$A$29:$A$118,Legend!$C$29:$C$118,"NOT FOUND",0,1))</f>
        <v/>
      </c>
    </row>
    <row r="843" spans="1:7" x14ac:dyDescent="0.2">
      <c r="A843" s="3">
        <v>1</v>
      </c>
      <c r="C843" s="3" t="str">
        <f>IF(B843="","",IF(ISNUMBER(VALUE(_xlfn.TEXTBEFORE(B843," "))),_xlfn.XLOOKUP(VALUE(_xlfn.TEXTBEFORE(B843," ")),Legend!$B$11:$B$26,Legend!$A$11:$A$26,"NOT FOUND",0,1),_xlfn.TEXTBEFORE(B843," ")))</f>
        <v/>
      </c>
      <c r="D843" s="3" t="str">
        <f t="shared" si="15"/>
        <v/>
      </c>
      <c r="E843" s="159" t="str">
        <f>IF(C843="","",_xlfn.XLOOKUP(C843,Legend!$A$10:$A$26,Legend!$C$10:$C$26,"NOT FOUND",0,1))</f>
        <v/>
      </c>
      <c r="F843" s="160" t="str">
        <f>IF(C843="","",_xlfn.XLOOKUP(D843,Legend!$A$29:$A$118,Legend!$B$29:$B$118,"NOT FOUND",0,1))</f>
        <v/>
      </c>
      <c r="G843" s="268" t="str">
        <f>IF(C843="","",_xlfn.XLOOKUP(D843,Legend!$A$29:$A$118,Legend!$C$29:$C$118,"NOT FOUND",0,1))</f>
        <v/>
      </c>
    </row>
    <row r="844" spans="1:7" x14ac:dyDescent="0.2">
      <c r="A844" s="3">
        <v>1</v>
      </c>
      <c r="C844" s="3" t="str">
        <f>IF(B844="","",IF(ISNUMBER(VALUE(_xlfn.TEXTBEFORE(B844," "))),_xlfn.XLOOKUP(VALUE(_xlfn.TEXTBEFORE(B844," ")),Legend!$B$11:$B$26,Legend!$A$11:$A$26,"NOT FOUND",0,1),_xlfn.TEXTBEFORE(B844," ")))</f>
        <v/>
      </c>
      <c r="D844" s="3" t="str">
        <f t="shared" si="15"/>
        <v/>
      </c>
      <c r="E844" s="159" t="str">
        <f>IF(C844="","",_xlfn.XLOOKUP(C844,Legend!$A$10:$A$26,Legend!$C$10:$C$26,"NOT FOUND",0,1))</f>
        <v/>
      </c>
      <c r="F844" s="160" t="str">
        <f>IF(C844="","",_xlfn.XLOOKUP(D844,Legend!$A$29:$A$118,Legend!$B$29:$B$118,"NOT FOUND",0,1))</f>
        <v/>
      </c>
      <c r="G844" s="268" t="str">
        <f>IF(C844="","",_xlfn.XLOOKUP(D844,Legend!$A$29:$A$118,Legend!$C$29:$C$118,"NOT FOUND",0,1))</f>
        <v/>
      </c>
    </row>
    <row r="845" spans="1:7" x14ac:dyDescent="0.2">
      <c r="A845" s="3">
        <v>1</v>
      </c>
      <c r="C845" s="3" t="str">
        <f>IF(B845="","",IF(ISNUMBER(VALUE(_xlfn.TEXTBEFORE(B845," "))),_xlfn.XLOOKUP(VALUE(_xlfn.TEXTBEFORE(B845," ")),Legend!$B$11:$B$26,Legend!$A$11:$A$26,"NOT FOUND",0,1),_xlfn.TEXTBEFORE(B845," ")))</f>
        <v/>
      </c>
      <c r="D845" s="3" t="str">
        <f t="shared" si="15"/>
        <v/>
      </c>
      <c r="E845" s="159" t="str">
        <f>IF(C845="","",_xlfn.XLOOKUP(C845,Legend!$A$10:$A$26,Legend!$C$10:$C$26,"NOT FOUND",0,1))</f>
        <v/>
      </c>
      <c r="F845" s="160" t="str">
        <f>IF(C845="","",_xlfn.XLOOKUP(D845,Legend!$A$29:$A$118,Legend!$B$29:$B$118,"NOT FOUND",0,1))</f>
        <v/>
      </c>
      <c r="G845" s="268" t="str">
        <f>IF(C845="","",_xlfn.XLOOKUP(D845,Legend!$A$29:$A$118,Legend!$C$29:$C$118,"NOT FOUND",0,1))</f>
        <v/>
      </c>
    </row>
    <row r="846" spans="1:7" x14ac:dyDescent="0.2">
      <c r="A846" s="3">
        <v>1</v>
      </c>
      <c r="C846" s="3" t="str">
        <f>IF(B846="","",IF(ISNUMBER(VALUE(_xlfn.TEXTBEFORE(B846," "))),_xlfn.XLOOKUP(VALUE(_xlfn.TEXTBEFORE(B846," ")),Legend!$B$11:$B$26,Legend!$A$11:$A$26,"NOT FOUND",0,1),_xlfn.TEXTBEFORE(B846," ")))</f>
        <v/>
      </c>
      <c r="D846" s="3" t="str">
        <f t="shared" si="15"/>
        <v/>
      </c>
      <c r="E846" s="159" t="str">
        <f>IF(C846="","",_xlfn.XLOOKUP(C846,Legend!$A$10:$A$26,Legend!$C$10:$C$26,"NOT FOUND",0,1))</f>
        <v/>
      </c>
      <c r="F846" s="160" t="str">
        <f>IF(C846="","",_xlfn.XLOOKUP(D846,Legend!$A$29:$A$118,Legend!$B$29:$B$118,"NOT FOUND",0,1))</f>
        <v/>
      </c>
      <c r="G846" s="268" t="str">
        <f>IF(C846="","",_xlfn.XLOOKUP(D846,Legend!$A$29:$A$118,Legend!$C$29:$C$118,"NOT FOUND",0,1))</f>
        <v/>
      </c>
    </row>
    <row r="847" spans="1:7" x14ac:dyDescent="0.2">
      <c r="A847" s="3">
        <v>1</v>
      </c>
      <c r="C847" s="3" t="str">
        <f>IF(B847="","",IF(ISNUMBER(VALUE(_xlfn.TEXTBEFORE(B847," "))),_xlfn.XLOOKUP(VALUE(_xlfn.TEXTBEFORE(B847," ")),Legend!$B$11:$B$26,Legend!$A$11:$A$26,"NOT FOUND",0,1),_xlfn.TEXTBEFORE(B847," ")))</f>
        <v/>
      </c>
      <c r="D847" s="3" t="str">
        <f t="shared" si="15"/>
        <v/>
      </c>
      <c r="E847" s="159" t="str">
        <f>IF(C847="","",_xlfn.XLOOKUP(C847,Legend!$A$10:$A$26,Legend!$C$10:$C$26,"NOT FOUND",0,1))</f>
        <v/>
      </c>
      <c r="F847" s="160" t="str">
        <f>IF(C847="","",_xlfn.XLOOKUP(D847,Legend!$A$29:$A$118,Legend!$B$29:$B$118,"NOT FOUND",0,1))</f>
        <v/>
      </c>
      <c r="G847" s="268" t="str">
        <f>IF(C847="","",_xlfn.XLOOKUP(D847,Legend!$A$29:$A$118,Legend!$C$29:$C$118,"NOT FOUND",0,1))</f>
        <v/>
      </c>
    </row>
    <row r="848" spans="1:7" x14ac:dyDescent="0.2">
      <c r="A848" s="3">
        <v>1</v>
      </c>
      <c r="C848" s="3" t="str">
        <f>IF(B848="","",IF(ISNUMBER(VALUE(_xlfn.TEXTBEFORE(B848," "))),_xlfn.XLOOKUP(VALUE(_xlfn.TEXTBEFORE(B848," ")),Legend!$B$11:$B$26,Legend!$A$11:$A$26,"NOT FOUND",0,1),_xlfn.TEXTBEFORE(B848," ")))</f>
        <v/>
      </c>
      <c r="D848" s="3" t="str">
        <f t="shared" si="15"/>
        <v/>
      </c>
      <c r="E848" s="159" t="str">
        <f>IF(C848="","",_xlfn.XLOOKUP(C848,Legend!$A$10:$A$26,Legend!$C$10:$C$26,"NOT FOUND",0,1))</f>
        <v/>
      </c>
      <c r="F848" s="160" t="str">
        <f>IF(C848="","",_xlfn.XLOOKUP(D848,Legend!$A$29:$A$118,Legend!$B$29:$B$118,"NOT FOUND",0,1))</f>
        <v/>
      </c>
      <c r="G848" s="268" t="str">
        <f>IF(C848="","",_xlfn.XLOOKUP(D848,Legend!$A$29:$A$118,Legend!$C$29:$C$118,"NOT FOUND",0,1))</f>
        <v/>
      </c>
    </row>
    <row r="849" spans="1:7" x14ac:dyDescent="0.2">
      <c r="A849" s="3">
        <v>1</v>
      </c>
      <c r="C849" s="3" t="str">
        <f>IF(B849="","",IF(ISNUMBER(VALUE(_xlfn.TEXTBEFORE(B849," "))),_xlfn.XLOOKUP(VALUE(_xlfn.TEXTBEFORE(B849," ")),Legend!$B$11:$B$26,Legend!$A$11:$A$26,"NOT FOUND",0,1),_xlfn.TEXTBEFORE(B849," ")))</f>
        <v/>
      </c>
      <c r="D849" s="3" t="str">
        <f t="shared" si="15"/>
        <v/>
      </c>
      <c r="E849" s="159" t="str">
        <f>IF(C849="","",_xlfn.XLOOKUP(C849,Legend!$A$10:$A$26,Legend!$C$10:$C$26,"NOT FOUND",0,1))</f>
        <v/>
      </c>
      <c r="F849" s="160" t="str">
        <f>IF(C849="","",_xlfn.XLOOKUP(D849,Legend!$A$29:$A$118,Legend!$B$29:$B$118,"NOT FOUND",0,1))</f>
        <v/>
      </c>
      <c r="G849" s="268" t="str">
        <f>IF(C849="","",_xlfn.XLOOKUP(D849,Legend!$A$29:$A$118,Legend!$C$29:$C$118,"NOT FOUND",0,1))</f>
        <v/>
      </c>
    </row>
    <row r="850" spans="1:7" x14ac:dyDescent="0.2">
      <c r="A850" s="3">
        <v>1</v>
      </c>
      <c r="C850" s="3" t="str">
        <f>IF(B850="","",IF(ISNUMBER(VALUE(_xlfn.TEXTBEFORE(B850," "))),_xlfn.XLOOKUP(VALUE(_xlfn.TEXTBEFORE(B850," ")),Legend!$B$11:$B$26,Legend!$A$11:$A$26,"NOT FOUND",0,1),_xlfn.TEXTBEFORE(B850," ")))</f>
        <v/>
      </c>
      <c r="D850" s="3" t="str">
        <f t="shared" si="15"/>
        <v/>
      </c>
      <c r="E850" s="159" t="str">
        <f>IF(C850="","",_xlfn.XLOOKUP(C850,Legend!$A$10:$A$26,Legend!$C$10:$C$26,"NOT FOUND",0,1))</f>
        <v/>
      </c>
      <c r="F850" s="160" t="str">
        <f>IF(C850="","",_xlfn.XLOOKUP(D850,Legend!$A$29:$A$118,Legend!$B$29:$B$118,"NOT FOUND",0,1))</f>
        <v/>
      </c>
      <c r="G850" s="268" t="str">
        <f>IF(C850="","",_xlfn.XLOOKUP(D850,Legend!$A$29:$A$118,Legend!$C$29:$C$118,"NOT FOUND",0,1))</f>
        <v/>
      </c>
    </row>
    <row r="851" spans="1:7" x14ac:dyDescent="0.2">
      <c r="A851" s="3">
        <v>1</v>
      </c>
      <c r="C851" s="3" t="str">
        <f>IF(B851="","",IF(ISNUMBER(VALUE(_xlfn.TEXTBEFORE(B851," "))),_xlfn.XLOOKUP(VALUE(_xlfn.TEXTBEFORE(B851," ")),Legend!$B$11:$B$26,Legend!$A$11:$A$26,"NOT FOUND",0,1),_xlfn.TEXTBEFORE(B851," ")))</f>
        <v/>
      </c>
      <c r="D851" s="3" t="str">
        <f t="shared" si="15"/>
        <v/>
      </c>
      <c r="E851" s="159" t="str">
        <f>IF(C851="","",_xlfn.XLOOKUP(C851,Legend!$A$10:$A$26,Legend!$C$10:$C$26,"NOT FOUND",0,1))</f>
        <v/>
      </c>
      <c r="F851" s="160" t="str">
        <f>IF(C851="","",_xlfn.XLOOKUP(D851,Legend!$A$29:$A$118,Legend!$B$29:$B$118,"NOT FOUND",0,1))</f>
        <v/>
      </c>
      <c r="G851" s="268" t="str">
        <f>IF(C851="","",_xlfn.XLOOKUP(D851,Legend!$A$29:$A$118,Legend!$C$29:$C$118,"NOT FOUND",0,1))</f>
        <v/>
      </c>
    </row>
    <row r="852" spans="1:7" x14ac:dyDescent="0.2">
      <c r="A852" s="3">
        <v>1</v>
      </c>
      <c r="C852" s="3" t="str">
        <f>IF(B852="","",IF(ISNUMBER(VALUE(_xlfn.TEXTBEFORE(B852," "))),_xlfn.XLOOKUP(VALUE(_xlfn.TEXTBEFORE(B852," ")),Legend!$B$11:$B$26,Legend!$A$11:$A$26,"NOT FOUND",0,1),_xlfn.TEXTBEFORE(B852," ")))</f>
        <v/>
      </c>
      <c r="D852" s="3" t="str">
        <f t="shared" si="15"/>
        <v/>
      </c>
      <c r="E852" s="159" t="str">
        <f>IF(C852="","",_xlfn.XLOOKUP(C852,Legend!$A$10:$A$26,Legend!$C$10:$C$26,"NOT FOUND",0,1))</f>
        <v/>
      </c>
      <c r="F852" s="160" t="str">
        <f>IF(C852="","",_xlfn.XLOOKUP(D852,Legend!$A$29:$A$118,Legend!$B$29:$B$118,"NOT FOUND",0,1))</f>
        <v/>
      </c>
      <c r="G852" s="268" t="str">
        <f>IF(C852="","",_xlfn.XLOOKUP(D852,Legend!$A$29:$A$118,Legend!$C$29:$C$118,"NOT FOUND",0,1))</f>
        <v/>
      </c>
    </row>
    <row r="853" spans="1:7" x14ac:dyDescent="0.2">
      <c r="A853" s="3">
        <v>1</v>
      </c>
      <c r="C853" s="3" t="str">
        <f>IF(B853="","",IF(ISNUMBER(VALUE(_xlfn.TEXTBEFORE(B853," "))),_xlfn.XLOOKUP(VALUE(_xlfn.TEXTBEFORE(B853," ")),Legend!$B$11:$B$26,Legend!$A$11:$A$26,"NOT FOUND",0,1),_xlfn.TEXTBEFORE(B853," ")))</f>
        <v/>
      </c>
      <c r="D853" s="3" t="str">
        <f t="shared" si="15"/>
        <v/>
      </c>
      <c r="E853" s="159" t="str">
        <f>IF(C853="","",_xlfn.XLOOKUP(C853,Legend!$A$10:$A$26,Legend!$C$10:$C$26,"NOT FOUND",0,1))</f>
        <v/>
      </c>
      <c r="F853" s="160" t="str">
        <f>IF(C853="","",_xlfn.XLOOKUP(D853,Legend!$A$29:$A$118,Legend!$B$29:$B$118,"NOT FOUND",0,1))</f>
        <v/>
      </c>
      <c r="G853" s="268" t="str">
        <f>IF(C853="","",_xlfn.XLOOKUP(D853,Legend!$A$29:$A$118,Legend!$C$29:$C$118,"NOT FOUND",0,1))</f>
        <v/>
      </c>
    </row>
    <row r="854" spans="1:7" x14ac:dyDescent="0.2">
      <c r="A854" s="3">
        <v>1</v>
      </c>
      <c r="C854" s="3" t="str">
        <f>IF(B854="","",IF(ISNUMBER(VALUE(_xlfn.TEXTBEFORE(B854," "))),_xlfn.XLOOKUP(VALUE(_xlfn.TEXTBEFORE(B854," ")),Legend!$B$11:$B$26,Legend!$A$11:$A$26,"NOT FOUND",0,1),_xlfn.TEXTBEFORE(B854," ")))</f>
        <v/>
      </c>
      <c r="D854" s="3" t="str">
        <f t="shared" si="15"/>
        <v/>
      </c>
      <c r="E854" s="159" t="str">
        <f>IF(C854="","",_xlfn.XLOOKUP(C854,Legend!$A$10:$A$26,Legend!$C$10:$C$26,"NOT FOUND",0,1))</f>
        <v/>
      </c>
      <c r="F854" s="160" t="str">
        <f>IF(C854="","",_xlfn.XLOOKUP(D854,Legend!$A$29:$A$118,Legend!$B$29:$B$118,"NOT FOUND",0,1))</f>
        <v/>
      </c>
      <c r="G854" s="268" t="str">
        <f>IF(C854="","",_xlfn.XLOOKUP(D854,Legend!$A$29:$A$118,Legend!$C$29:$C$118,"NOT FOUND",0,1))</f>
        <v/>
      </c>
    </row>
    <row r="855" spans="1:7" x14ac:dyDescent="0.2">
      <c r="A855" s="3">
        <v>1</v>
      </c>
      <c r="C855" s="3" t="str">
        <f>IF(B855="","",IF(ISNUMBER(VALUE(_xlfn.TEXTBEFORE(B855," "))),_xlfn.XLOOKUP(VALUE(_xlfn.TEXTBEFORE(B855," ")),Legend!$B$11:$B$26,Legend!$A$11:$A$26,"NOT FOUND",0,1),_xlfn.TEXTBEFORE(B855," ")))</f>
        <v/>
      </c>
      <c r="D855" s="3" t="str">
        <f t="shared" si="15"/>
        <v/>
      </c>
      <c r="E855" s="159" t="str">
        <f>IF(C855="","",_xlfn.XLOOKUP(C855,Legend!$A$10:$A$26,Legend!$C$10:$C$26,"NOT FOUND",0,1))</f>
        <v/>
      </c>
      <c r="F855" s="160" t="str">
        <f>IF(C855="","",_xlfn.XLOOKUP(D855,Legend!$A$29:$A$118,Legend!$B$29:$B$118,"NOT FOUND",0,1))</f>
        <v/>
      </c>
      <c r="G855" s="268" t="str">
        <f>IF(C855="","",_xlfn.XLOOKUP(D855,Legend!$A$29:$A$118,Legend!$C$29:$C$118,"NOT FOUND",0,1))</f>
        <v/>
      </c>
    </row>
    <row r="856" spans="1:7" x14ac:dyDescent="0.2">
      <c r="A856" s="3">
        <v>1</v>
      </c>
      <c r="C856" s="3" t="str">
        <f>IF(B856="","",IF(ISNUMBER(VALUE(_xlfn.TEXTBEFORE(B856," "))),_xlfn.XLOOKUP(VALUE(_xlfn.TEXTBEFORE(B856," ")),Legend!$B$11:$B$26,Legend!$A$11:$A$26,"NOT FOUND",0,1),_xlfn.TEXTBEFORE(B856," ")))</f>
        <v/>
      </c>
      <c r="D856" s="3" t="str">
        <f t="shared" si="15"/>
        <v/>
      </c>
      <c r="E856" s="159" t="str">
        <f>IF(C856="","",_xlfn.XLOOKUP(C856,Legend!$A$10:$A$26,Legend!$C$10:$C$26,"NOT FOUND",0,1))</f>
        <v/>
      </c>
      <c r="F856" s="160" t="str">
        <f>IF(C856="","",_xlfn.XLOOKUP(D856,Legend!$A$29:$A$118,Legend!$B$29:$B$118,"NOT FOUND",0,1))</f>
        <v/>
      </c>
      <c r="G856" s="268" t="str">
        <f>IF(C856="","",_xlfn.XLOOKUP(D856,Legend!$A$29:$A$118,Legend!$C$29:$C$118,"NOT FOUND",0,1))</f>
        <v/>
      </c>
    </row>
    <row r="857" spans="1:7" x14ac:dyDescent="0.2">
      <c r="A857" s="3">
        <v>1</v>
      </c>
      <c r="C857" s="3" t="str">
        <f>IF(B857="","",IF(ISNUMBER(VALUE(_xlfn.TEXTBEFORE(B857," "))),_xlfn.XLOOKUP(VALUE(_xlfn.TEXTBEFORE(B857," ")),Legend!$B$11:$B$26,Legend!$A$11:$A$26,"NOT FOUND",0,1),_xlfn.TEXTBEFORE(B857," ")))</f>
        <v/>
      </c>
      <c r="D857" s="3" t="str">
        <f t="shared" si="15"/>
        <v/>
      </c>
      <c r="E857" s="159" t="str">
        <f>IF(C857="","",_xlfn.XLOOKUP(C857,Legend!$A$10:$A$26,Legend!$C$10:$C$26,"NOT FOUND",0,1))</f>
        <v/>
      </c>
      <c r="F857" s="160" t="str">
        <f>IF(C857="","",_xlfn.XLOOKUP(D857,Legend!$A$29:$A$118,Legend!$B$29:$B$118,"NOT FOUND",0,1))</f>
        <v/>
      </c>
      <c r="G857" s="268" t="str">
        <f>IF(C857="","",_xlfn.XLOOKUP(D857,Legend!$A$29:$A$118,Legend!$C$29:$C$118,"NOT FOUND",0,1))</f>
        <v/>
      </c>
    </row>
    <row r="858" spans="1:7" x14ac:dyDescent="0.2">
      <c r="A858" s="3">
        <v>1</v>
      </c>
      <c r="C858" s="3" t="str">
        <f>IF(B858="","",IF(ISNUMBER(VALUE(_xlfn.TEXTBEFORE(B858," "))),_xlfn.XLOOKUP(VALUE(_xlfn.TEXTBEFORE(B858," ")),Legend!$B$11:$B$26,Legend!$A$11:$A$26,"NOT FOUND",0,1),_xlfn.TEXTBEFORE(B858," ")))</f>
        <v/>
      </c>
      <c r="D858" s="3" t="str">
        <f t="shared" si="15"/>
        <v/>
      </c>
      <c r="E858" s="159" t="str">
        <f>IF(C858="","",_xlfn.XLOOKUP(C858,Legend!$A$10:$A$26,Legend!$C$10:$C$26,"NOT FOUND",0,1))</f>
        <v/>
      </c>
      <c r="F858" s="160" t="str">
        <f>IF(C858="","",_xlfn.XLOOKUP(D858,Legend!$A$29:$A$118,Legend!$B$29:$B$118,"NOT FOUND",0,1))</f>
        <v/>
      </c>
      <c r="G858" s="268" t="str">
        <f>IF(C858="","",_xlfn.XLOOKUP(D858,Legend!$A$29:$A$118,Legend!$C$29:$C$118,"NOT FOUND",0,1))</f>
        <v/>
      </c>
    </row>
    <row r="859" spans="1:7" x14ac:dyDescent="0.2">
      <c r="A859" s="3">
        <v>1</v>
      </c>
      <c r="C859" s="3" t="str">
        <f>IF(B859="","",IF(ISNUMBER(VALUE(_xlfn.TEXTBEFORE(B859," "))),_xlfn.XLOOKUP(VALUE(_xlfn.TEXTBEFORE(B859," ")),Legend!$B$11:$B$26,Legend!$A$11:$A$26,"NOT FOUND",0,1),_xlfn.TEXTBEFORE(B859," ")))</f>
        <v/>
      </c>
      <c r="D859" s="3" t="str">
        <f t="shared" si="15"/>
        <v/>
      </c>
      <c r="E859" s="159" t="str">
        <f>IF(C859="","",_xlfn.XLOOKUP(C859,Legend!$A$10:$A$26,Legend!$C$10:$C$26,"NOT FOUND",0,1))</f>
        <v/>
      </c>
      <c r="F859" s="160" t="str">
        <f>IF(C859="","",_xlfn.XLOOKUP(D859,Legend!$A$29:$A$118,Legend!$B$29:$B$118,"NOT FOUND",0,1))</f>
        <v/>
      </c>
      <c r="G859" s="268" t="str">
        <f>IF(C859="","",_xlfn.XLOOKUP(D859,Legend!$A$29:$A$118,Legend!$C$29:$C$118,"NOT FOUND",0,1))</f>
        <v/>
      </c>
    </row>
    <row r="860" spans="1:7" x14ac:dyDescent="0.2">
      <c r="A860" s="3">
        <v>1</v>
      </c>
      <c r="C860" s="3" t="str">
        <f>IF(B860="","",IF(ISNUMBER(VALUE(_xlfn.TEXTBEFORE(B860," "))),_xlfn.XLOOKUP(VALUE(_xlfn.TEXTBEFORE(B860," ")),Legend!$B$11:$B$26,Legend!$A$11:$A$26,"NOT FOUND",0,1),_xlfn.TEXTBEFORE(B860," ")))</f>
        <v/>
      </c>
      <c r="D860" s="3" t="str">
        <f t="shared" si="15"/>
        <v/>
      </c>
      <c r="E860" s="159" t="str">
        <f>IF(C860="","",_xlfn.XLOOKUP(C860,Legend!$A$10:$A$26,Legend!$C$10:$C$26,"NOT FOUND",0,1))</f>
        <v/>
      </c>
      <c r="F860" s="160" t="str">
        <f>IF(C860="","",_xlfn.XLOOKUP(D860,Legend!$A$29:$A$118,Legend!$B$29:$B$118,"NOT FOUND",0,1))</f>
        <v/>
      </c>
      <c r="G860" s="268" t="str">
        <f>IF(C860="","",_xlfn.XLOOKUP(D860,Legend!$A$29:$A$118,Legend!$C$29:$C$118,"NOT FOUND",0,1))</f>
        <v/>
      </c>
    </row>
    <row r="861" spans="1:7" x14ac:dyDescent="0.2">
      <c r="A861" s="3">
        <v>1</v>
      </c>
      <c r="C861" s="3" t="str">
        <f>IF(B861="","",IF(ISNUMBER(VALUE(_xlfn.TEXTBEFORE(B861," "))),_xlfn.XLOOKUP(VALUE(_xlfn.TEXTBEFORE(B861," ")),Legend!$B$11:$B$26,Legend!$A$11:$A$26,"NOT FOUND",0,1),_xlfn.TEXTBEFORE(B861," ")))</f>
        <v/>
      </c>
      <c r="D861" s="3" t="str">
        <f t="shared" si="15"/>
        <v/>
      </c>
      <c r="E861" s="159" t="str">
        <f>IF(C861="","",_xlfn.XLOOKUP(C861,Legend!$A$10:$A$26,Legend!$C$10:$C$26,"NOT FOUND",0,1))</f>
        <v/>
      </c>
      <c r="F861" s="160" t="str">
        <f>IF(C861="","",_xlfn.XLOOKUP(D861,Legend!$A$29:$A$118,Legend!$B$29:$B$118,"NOT FOUND",0,1))</f>
        <v/>
      </c>
      <c r="G861" s="268" t="str">
        <f>IF(C861="","",_xlfn.XLOOKUP(D861,Legend!$A$29:$A$118,Legend!$C$29:$C$118,"NOT FOUND",0,1))</f>
        <v/>
      </c>
    </row>
    <row r="862" spans="1:7" x14ac:dyDescent="0.2">
      <c r="A862" s="3">
        <v>1</v>
      </c>
      <c r="C862" s="3" t="str">
        <f>IF(B862="","",IF(ISNUMBER(VALUE(_xlfn.TEXTBEFORE(B862," "))),_xlfn.XLOOKUP(VALUE(_xlfn.TEXTBEFORE(B862," ")),Legend!$B$11:$B$26,Legend!$A$11:$A$26,"NOT FOUND",0,1),_xlfn.TEXTBEFORE(B862," ")))</f>
        <v/>
      </c>
      <c r="D862" s="3" t="str">
        <f t="shared" si="15"/>
        <v/>
      </c>
      <c r="E862" s="159" t="str">
        <f>IF(C862="","",_xlfn.XLOOKUP(C862,Legend!$A$10:$A$26,Legend!$C$10:$C$26,"NOT FOUND",0,1))</f>
        <v/>
      </c>
      <c r="F862" s="160" t="str">
        <f>IF(C862="","",_xlfn.XLOOKUP(D862,Legend!$A$29:$A$118,Legend!$B$29:$B$118,"NOT FOUND",0,1))</f>
        <v/>
      </c>
      <c r="G862" s="268" t="str">
        <f>IF(C862="","",_xlfn.XLOOKUP(D862,Legend!$A$29:$A$118,Legend!$C$29:$C$118,"NOT FOUND",0,1))</f>
        <v/>
      </c>
    </row>
    <row r="863" spans="1:7" x14ac:dyDescent="0.2">
      <c r="A863" s="3">
        <v>1</v>
      </c>
      <c r="C863" s="3" t="str">
        <f>IF(B863="","",IF(ISNUMBER(VALUE(_xlfn.TEXTBEFORE(B863," "))),_xlfn.XLOOKUP(VALUE(_xlfn.TEXTBEFORE(B863," ")),Legend!$B$11:$B$26,Legend!$A$11:$A$26,"NOT FOUND",0,1),_xlfn.TEXTBEFORE(B863," ")))</f>
        <v/>
      </c>
      <c r="D863" s="3" t="str">
        <f t="shared" si="15"/>
        <v/>
      </c>
      <c r="E863" s="159" t="str">
        <f>IF(C863="","",_xlfn.XLOOKUP(C863,Legend!$A$10:$A$26,Legend!$C$10:$C$26,"NOT FOUND",0,1))</f>
        <v/>
      </c>
      <c r="F863" s="160" t="str">
        <f>IF(C863="","",_xlfn.XLOOKUP(D863,Legend!$A$29:$A$118,Legend!$B$29:$B$118,"NOT FOUND",0,1))</f>
        <v/>
      </c>
      <c r="G863" s="268" t="str">
        <f>IF(C863="","",_xlfn.XLOOKUP(D863,Legend!$A$29:$A$118,Legend!$C$29:$C$118,"NOT FOUND",0,1))</f>
        <v/>
      </c>
    </row>
    <row r="864" spans="1:7" x14ac:dyDescent="0.2">
      <c r="A864" s="3">
        <v>1</v>
      </c>
      <c r="C864" s="3" t="str">
        <f>IF(B864="","",IF(ISNUMBER(VALUE(_xlfn.TEXTBEFORE(B864," "))),_xlfn.XLOOKUP(VALUE(_xlfn.TEXTBEFORE(B864," ")),Legend!$B$11:$B$26,Legend!$A$11:$A$26,"NOT FOUND",0,1),_xlfn.TEXTBEFORE(B864," ")))</f>
        <v/>
      </c>
      <c r="D864" s="3" t="str">
        <f t="shared" si="15"/>
        <v/>
      </c>
      <c r="E864" s="159" t="str">
        <f>IF(C864="","",_xlfn.XLOOKUP(C864,Legend!$A$10:$A$26,Legend!$C$10:$C$26,"NOT FOUND",0,1))</f>
        <v/>
      </c>
      <c r="F864" s="160" t="str">
        <f>IF(C864="","",_xlfn.XLOOKUP(D864,Legend!$A$29:$A$118,Legend!$B$29:$B$118,"NOT FOUND",0,1))</f>
        <v/>
      </c>
      <c r="G864" s="268" t="str">
        <f>IF(C864="","",_xlfn.XLOOKUP(D864,Legend!$A$29:$A$118,Legend!$C$29:$C$118,"NOT FOUND",0,1))</f>
        <v/>
      </c>
    </row>
    <row r="865" spans="1:7" x14ac:dyDescent="0.2">
      <c r="A865" s="3">
        <v>1</v>
      </c>
      <c r="C865" s="3" t="str">
        <f>IF(B865="","",IF(ISNUMBER(VALUE(_xlfn.TEXTBEFORE(B865," "))),_xlfn.XLOOKUP(VALUE(_xlfn.TEXTBEFORE(B865," ")),Legend!$B$11:$B$26,Legend!$A$11:$A$26,"NOT FOUND",0,1),_xlfn.TEXTBEFORE(B865," ")))</f>
        <v/>
      </c>
      <c r="D865" s="3" t="str">
        <f t="shared" si="15"/>
        <v/>
      </c>
      <c r="E865" s="159" t="str">
        <f>IF(C865="","",_xlfn.XLOOKUP(C865,Legend!$A$10:$A$26,Legend!$C$10:$C$26,"NOT FOUND",0,1))</f>
        <v/>
      </c>
      <c r="F865" s="160" t="str">
        <f>IF(C865="","",_xlfn.XLOOKUP(D865,Legend!$A$29:$A$118,Legend!$B$29:$B$118,"NOT FOUND",0,1))</f>
        <v/>
      </c>
      <c r="G865" s="268" t="str">
        <f>IF(C865="","",_xlfn.XLOOKUP(D865,Legend!$A$29:$A$118,Legend!$C$29:$C$118,"NOT FOUND",0,1))</f>
        <v/>
      </c>
    </row>
    <row r="866" spans="1:7" x14ac:dyDescent="0.2">
      <c r="A866" s="3">
        <v>1</v>
      </c>
      <c r="C866" s="3" t="str">
        <f>IF(B866="","",IF(ISNUMBER(VALUE(_xlfn.TEXTBEFORE(B866," "))),_xlfn.XLOOKUP(VALUE(_xlfn.TEXTBEFORE(B866," ")),Legend!$B$11:$B$26,Legend!$A$11:$A$26,"NOT FOUND",0,1),_xlfn.TEXTBEFORE(B866," ")))</f>
        <v/>
      </c>
      <c r="D866" s="3" t="str">
        <f t="shared" si="15"/>
        <v/>
      </c>
      <c r="E866" s="159" t="str">
        <f>IF(C866="","",_xlfn.XLOOKUP(C866,Legend!$A$10:$A$26,Legend!$C$10:$C$26,"NOT FOUND",0,1))</f>
        <v/>
      </c>
      <c r="F866" s="160" t="str">
        <f>IF(C866="","",_xlfn.XLOOKUP(D866,Legend!$A$29:$A$118,Legend!$B$29:$B$118,"NOT FOUND",0,1))</f>
        <v/>
      </c>
      <c r="G866" s="268" t="str">
        <f>IF(C866="","",_xlfn.XLOOKUP(D866,Legend!$A$29:$A$118,Legend!$C$29:$C$118,"NOT FOUND",0,1))</f>
        <v/>
      </c>
    </row>
    <row r="867" spans="1:7" x14ac:dyDescent="0.2">
      <c r="A867" s="3">
        <v>1</v>
      </c>
      <c r="C867" s="3" t="str">
        <f>IF(B867="","",IF(ISNUMBER(VALUE(_xlfn.TEXTBEFORE(B867," "))),_xlfn.XLOOKUP(VALUE(_xlfn.TEXTBEFORE(B867," ")),Legend!$B$11:$B$26,Legend!$A$11:$A$26,"NOT FOUND",0,1),_xlfn.TEXTBEFORE(B867," ")))</f>
        <v/>
      </c>
      <c r="D867" s="3" t="str">
        <f t="shared" si="15"/>
        <v/>
      </c>
      <c r="E867" s="159" t="str">
        <f>IF(C867="","",_xlfn.XLOOKUP(C867,Legend!$A$10:$A$26,Legend!$C$10:$C$26,"NOT FOUND",0,1))</f>
        <v/>
      </c>
      <c r="F867" s="160" t="str">
        <f>IF(C867="","",_xlfn.XLOOKUP(D867,Legend!$A$29:$A$118,Legend!$B$29:$B$118,"NOT FOUND",0,1))</f>
        <v/>
      </c>
      <c r="G867" s="268" t="str">
        <f>IF(C867="","",_xlfn.XLOOKUP(D867,Legend!$A$29:$A$118,Legend!$C$29:$C$118,"NOT FOUND",0,1))</f>
        <v/>
      </c>
    </row>
    <row r="868" spans="1:7" x14ac:dyDescent="0.2">
      <c r="A868" s="3">
        <v>1</v>
      </c>
      <c r="C868" s="3" t="str">
        <f>IF(B868="","",IF(ISNUMBER(VALUE(_xlfn.TEXTBEFORE(B868," "))),_xlfn.XLOOKUP(VALUE(_xlfn.TEXTBEFORE(B868," ")),Legend!$B$11:$B$26,Legend!$A$11:$A$26,"NOT FOUND",0,1),_xlfn.TEXTBEFORE(B868," ")))</f>
        <v/>
      </c>
      <c r="D868" s="3" t="str">
        <f t="shared" si="15"/>
        <v/>
      </c>
      <c r="E868" s="159" t="str">
        <f>IF(C868="","",_xlfn.XLOOKUP(C868,Legend!$A$10:$A$26,Legend!$C$10:$C$26,"NOT FOUND",0,1))</f>
        <v/>
      </c>
      <c r="F868" s="160" t="str">
        <f>IF(C868="","",_xlfn.XLOOKUP(D868,Legend!$A$29:$A$118,Legend!$B$29:$B$118,"NOT FOUND",0,1))</f>
        <v/>
      </c>
      <c r="G868" s="268" t="str">
        <f>IF(C868="","",_xlfn.XLOOKUP(D868,Legend!$A$29:$A$118,Legend!$C$29:$C$118,"NOT FOUND",0,1))</f>
        <v/>
      </c>
    </row>
    <row r="869" spans="1:7" x14ac:dyDescent="0.2">
      <c r="A869" s="3">
        <v>1</v>
      </c>
      <c r="C869" s="3" t="str">
        <f>IF(B869="","",IF(ISNUMBER(VALUE(_xlfn.TEXTBEFORE(B869," "))),_xlfn.XLOOKUP(VALUE(_xlfn.TEXTBEFORE(B869," ")),Legend!$B$11:$B$26,Legend!$A$11:$A$26,"NOT FOUND",0,1),_xlfn.TEXTBEFORE(B869," ")))</f>
        <v/>
      </c>
      <c r="D869" s="3" t="str">
        <f t="shared" si="15"/>
        <v/>
      </c>
      <c r="E869" s="159" t="str">
        <f>IF(C869="","",_xlfn.XLOOKUP(C869,Legend!$A$10:$A$26,Legend!$C$10:$C$26,"NOT FOUND",0,1))</f>
        <v/>
      </c>
      <c r="F869" s="160" t="str">
        <f>IF(C869="","",_xlfn.XLOOKUP(D869,Legend!$A$29:$A$118,Legend!$B$29:$B$118,"NOT FOUND",0,1))</f>
        <v/>
      </c>
      <c r="G869" s="268" t="str">
        <f>IF(C869="","",_xlfn.XLOOKUP(D869,Legend!$A$29:$A$118,Legend!$C$29:$C$118,"NOT FOUND",0,1))</f>
        <v/>
      </c>
    </row>
    <row r="870" spans="1:7" x14ac:dyDescent="0.2">
      <c r="A870" s="3">
        <v>1</v>
      </c>
      <c r="C870" s="3" t="str">
        <f>IF(B870="","",IF(ISNUMBER(VALUE(_xlfn.TEXTBEFORE(B870," "))),_xlfn.XLOOKUP(VALUE(_xlfn.TEXTBEFORE(B870," ")),Legend!$B$11:$B$26,Legend!$A$11:$A$26,"NOT FOUND",0,1),_xlfn.TEXTBEFORE(B870," ")))</f>
        <v/>
      </c>
      <c r="D870" s="3" t="str">
        <f t="shared" si="15"/>
        <v/>
      </c>
      <c r="E870" s="159" t="str">
        <f>IF(C870="","",_xlfn.XLOOKUP(C870,Legend!$A$10:$A$26,Legend!$C$10:$C$26,"NOT FOUND",0,1))</f>
        <v/>
      </c>
      <c r="F870" s="160" t="str">
        <f>IF(C870="","",_xlfn.XLOOKUP(D870,Legend!$A$29:$A$118,Legend!$B$29:$B$118,"NOT FOUND",0,1))</f>
        <v/>
      </c>
      <c r="G870" s="268" t="str">
        <f>IF(C870="","",_xlfn.XLOOKUP(D870,Legend!$A$29:$A$118,Legend!$C$29:$C$118,"NOT FOUND",0,1))</f>
        <v/>
      </c>
    </row>
    <row r="871" spans="1:7" x14ac:dyDescent="0.2">
      <c r="A871" s="3">
        <v>1</v>
      </c>
      <c r="C871" s="3" t="str">
        <f>IF(B871="","",IF(ISNUMBER(VALUE(_xlfn.TEXTBEFORE(B871," "))),_xlfn.XLOOKUP(VALUE(_xlfn.TEXTBEFORE(B871," ")),Legend!$B$11:$B$26,Legend!$A$11:$A$26,"NOT FOUND",0,1),_xlfn.TEXTBEFORE(B871," ")))</f>
        <v/>
      </c>
      <c r="D871" s="3" t="str">
        <f t="shared" si="15"/>
        <v/>
      </c>
      <c r="E871" s="159" t="str">
        <f>IF(C871="","",_xlfn.XLOOKUP(C871,Legend!$A$10:$A$26,Legend!$C$10:$C$26,"NOT FOUND",0,1))</f>
        <v/>
      </c>
      <c r="F871" s="160" t="str">
        <f>IF(C871="","",_xlfn.XLOOKUP(D871,Legend!$A$29:$A$118,Legend!$B$29:$B$118,"NOT FOUND",0,1))</f>
        <v/>
      </c>
      <c r="G871" s="268" t="str">
        <f>IF(C871="","",_xlfn.XLOOKUP(D871,Legend!$A$29:$A$118,Legend!$C$29:$C$118,"NOT FOUND",0,1))</f>
        <v/>
      </c>
    </row>
    <row r="872" spans="1:7" x14ac:dyDescent="0.2">
      <c r="A872" s="3">
        <v>1</v>
      </c>
      <c r="C872" s="3" t="str">
        <f>IF(B872="","",IF(ISNUMBER(VALUE(_xlfn.TEXTBEFORE(B872," "))),_xlfn.XLOOKUP(VALUE(_xlfn.TEXTBEFORE(B872," ")),Legend!$B$11:$B$26,Legend!$A$11:$A$26,"NOT FOUND",0,1),_xlfn.TEXTBEFORE(B872," ")))</f>
        <v/>
      </c>
      <c r="D872" s="3" t="str">
        <f t="shared" si="15"/>
        <v/>
      </c>
      <c r="E872" s="159" t="str">
        <f>IF(C872="","",_xlfn.XLOOKUP(C872,Legend!$A$10:$A$26,Legend!$C$10:$C$26,"NOT FOUND",0,1))</f>
        <v/>
      </c>
      <c r="F872" s="160" t="str">
        <f>IF(C872="","",_xlfn.XLOOKUP(D872,Legend!$A$29:$A$118,Legend!$B$29:$B$118,"NOT FOUND",0,1))</f>
        <v/>
      </c>
      <c r="G872" s="268" t="str">
        <f>IF(C872="","",_xlfn.XLOOKUP(D872,Legend!$A$29:$A$118,Legend!$C$29:$C$118,"NOT FOUND",0,1))</f>
        <v/>
      </c>
    </row>
    <row r="873" spans="1:7" x14ac:dyDescent="0.2">
      <c r="A873" s="3">
        <v>1</v>
      </c>
      <c r="C873" s="3" t="str">
        <f>IF(B873="","",IF(ISNUMBER(VALUE(_xlfn.TEXTBEFORE(B873," "))),_xlfn.XLOOKUP(VALUE(_xlfn.TEXTBEFORE(B873," ")),Legend!$B$11:$B$26,Legend!$A$11:$A$26,"NOT FOUND",0,1),_xlfn.TEXTBEFORE(B873," ")))</f>
        <v/>
      </c>
      <c r="D873" s="3" t="str">
        <f t="shared" si="15"/>
        <v/>
      </c>
      <c r="E873" s="159" t="str">
        <f>IF(C873="","",_xlfn.XLOOKUP(C873,Legend!$A$10:$A$26,Legend!$C$10:$C$26,"NOT FOUND",0,1))</f>
        <v/>
      </c>
      <c r="F873" s="160" t="str">
        <f>IF(C873="","",_xlfn.XLOOKUP(D873,Legend!$A$29:$A$118,Legend!$B$29:$B$118,"NOT FOUND",0,1))</f>
        <v/>
      </c>
      <c r="G873" s="268" t="str">
        <f>IF(C873="","",_xlfn.XLOOKUP(D873,Legend!$A$29:$A$118,Legend!$C$29:$C$118,"NOT FOUND",0,1))</f>
        <v/>
      </c>
    </row>
    <row r="874" spans="1:7" x14ac:dyDescent="0.2">
      <c r="A874" s="3">
        <v>1</v>
      </c>
      <c r="C874" s="3" t="str">
        <f>IF(B874="","",IF(ISNUMBER(VALUE(_xlfn.TEXTBEFORE(B874," "))),_xlfn.XLOOKUP(VALUE(_xlfn.TEXTBEFORE(B874," ")),Legend!$B$11:$B$26,Legend!$A$11:$A$26,"NOT FOUND",0,1),_xlfn.TEXTBEFORE(B874," ")))</f>
        <v/>
      </c>
      <c r="D874" s="3" t="str">
        <f t="shared" si="15"/>
        <v/>
      </c>
      <c r="E874" s="159" t="str">
        <f>IF(C874="","",_xlfn.XLOOKUP(C874,Legend!$A$10:$A$26,Legend!$C$10:$C$26,"NOT FOUND",0,1))</f>
        <v/>
      </c>
      <c r="F874" s="160" t="str">
        <f>IF(C874="","",_xlfn.XLOOKUP(D874,Legend!$A$29:$A$118,Legend!$B$29:$B$118,"NOT FOUND",0,1))</f>
        <v/>
      </c>
      <c r="G874" s="268" t="str">
        <f>IF(C874="","",_xlfn.XLOOKUP(D874,Legend!$A$29:$A$118,Legend!$C$29:$C$118,"NOT FOUND",0,1))</f>
        <v/>
      </c>
    </row>
    <row r="875" spans="1:7" x14ac:dyDescent="0.2">
      <c r="A875" s="3">
        <v>1</v>
      </c>
      <c r="C875" s="3" t="str">
        <f>IF(B875="","",IF(ISNUMBER(VALUE(_xlfn.TEXTBEFORE(B875," "))),_xlfn.XLOOKUP(VALUE(_xlfn.TEXTBEFORE(B875," ")),Legend!$B$11:$B$26,Legend!$A$11:$A$26,"NOT FOUND",0,1),_xlfn.TEXTBEFORE(B875," ")))</f>
        <v/>
      </c>
      <c r="D875" s="3" t="str">
        <f t="shared" si="15"/>
        <v/>
      </c>
      <c r="E875" s="159" t="str">
        <f>IF(C875="","",_xlfn.XLOOKUP(C875,Legend!$A$10:$A$26,Legend!$C$10:$C$26,"NOT FOUND",0,1))</f>
        <v/>
      </c>
      <c r="F875" s="160" t="str">
        <f>IF(C875="","",_xlfn.XLOOKUP(D875,Legend!$A$29:$A$118,Legend!$B$29:$B$118,"NOT FOUND",0,1))</f>
        <v/>
      </c>
      <c r="G875" s="268" t="str">
        <f>IF(C875="","",_xlfn.XLOOKUP(D875,Legend!$A$29:$A$118,Legend!$C$29:$C$118,"NOT FOUND",0,1))</f>
        <v/>
      </c>
    </row>
    <row r="876" spans="1:7" x14ac:dyDescent="0.2">
      <c r="A876" s="3">
        <v>1</v>
      </c>
      <c r="C876" s="3" t="str">
        <f>IF(B876="","",IF(ISNUMBER(VALUE(_xlfn.TEXTBEFORE(B876," "))),_xlfn.XLOOKUP(VALUE(_xlfn.TEXTBEFORE(B876," ")),Legend!$B$11:$B$26,Legend!$A$11:$A$26,"NOT FOUND",0,1),_xlfn.TEXTBEFORE(B876," ")))</f>
        <v/>
      </c>
      <c r="D876" s="3" t="str">
        <f t="shared" si="15"/>
        <v/>
      </c>
      <c r="E876" s="159" t="str">
        <f>IF(C876="","",_xlfn.XLOOKUP(C876,Legend!$A$10:$A$26,Legend!$C$10:$C$26,"NOT FOUND",0,1))</f>
        <v/>
      </c>
      <c r="F876" s="160" t="str">
        <f>IF(C876="","",_xlfn.XLOOKUP(D876,Legend!$A$29:$A$118,Legend!$B$29:$B$118,"NOT FOUND",0,1))</f>
        <v/>
      </c>
      <c r="G876" s="268" t="str">
        <f>IF(C876="","",_xlfn.XLOOKUP(D876,Legend!$A$29:$A$118,Legend!$C$29:$C$118,"NOT FOUND",0,1))</f>
        <v/>
      </c>
    </row>
    <row r="877" spans="1:7" x14ac:dyDescent="0.2">
      <c r="A877" s="3">
        <v>1</v>
      </c>
      <c r="C877" s="3" t="str">
        <f>IF(B877="","",IF(ISNUMBER(VALUE(_xlfn.TEXTBEFORE(B877," "))),_xlfn.XLOOKUP(VALUE(_xlfn.TEXTBEFORE(B877," ")),Legend!$B$11:$B$26,Legend!$A$11:$A$26,"NOT FOUND",0,1),_xlfn.TEXTBEFORE(B877," ")))</f>
        <v/>
      </c>
      <c r="D877" s="3" t="str">
        <f t="shared" si="15"/>
        <v/>
      </c>
      <c r="E877" s="159" t="str">
        <f>IF(C877="","",_xlfn.XLOOKUP(C877,Legend!$A$10:$A$26,Legend!$C$10:$C$26,"NOT FOUND",0,1))</f>
        <v/>
      </c>
      <c r="F877" s="160" t="str">
        <f>IF(C877="","",_xlfn.XLOOKUP(D877,Legend!$A$29:$A$118,Legend!$B$29:$B$118,"NOT FOUND",0,1))</f>
        <v/>
      </c>
      <c r="G877" s="268" t="str">
        <f>IF(C877="","",_xlfn.XLOOKUP(D877,Legend!$A$29:$A$118,Legend!$C$29:$C$118,"NOT FOUND",0,1))</f>
        <v/>
      </c>
    </row>
    <row r="878" spans="1:7" x14ac:dyDescent="0.2">
      <c r="A878" s="3">
        <v>1</v>
      </c>
      <c r="C878" s="3" t="str">
        <f>IF(B878="","",IF(ISNUMBER(VALUE(_xlfn.TEXTBEFORE(B878," "))),_xlfn.XLOOKUP(VALUE(_xlfn.TEXTBEFORE(B878," ")),Legend!$B$11:$B$26,Legend!$A$11:$A$26,"NOT FOUND",0,1),_xlfn.TEXTBEFORE(B878," ")))</f>
        <v/>
      </c>
      <c r="D878" s="3" t="str">
        <f t="shared" si="15"/>
        <v/>
      </c>
      <c r="E878" s="159" t="str">
        <f>IF(C878="","",_xlfn.XLOOKUP(C878,Legend!$A$10:$A$26,Legend!$C$10:$C$26,"NOT FOUND",0,1))</f>
        <v/>
      </c>
      <c r="F878" s="160" t="str">
        <f>IF(C878="","",_xlfn.XLOOKUP(D878,Legend!$A$29:$A$118,Legend!$B$29:$B$118,"NOT FOUND",0,1))</f>
        <v/>
      </c>
      <c r="G878" s="268" t="str">
        <f>IF(C878="","",_xlfn.XLOOKUP(D878,Legend!$A$29:$A$118,Legend!$C$29:$C$118,"NOT FOUND",0,1))</f>
        <v/>
      </c>
    </row>
    <row r="879" spans="1:7" x14ac:dyDescent="0.2">
      <c r="A879" s="3">
        <v>1</v>
      </c>
      <c r="C879" s="3" t="str">
        <f>IF(B879="","",IF(ISNUMBER(VALUE(_xlfn.TEXTBEFORE(B879," "))),_xlfn.XLOOKUP(VALUE(_xlfn.TEXTBEFORE(B879," ")),Legend!$B$11:$B$26,Legend!$A$11:$A$26,"NOT FOUND",0,1),_xlfn.TEXTBEFORE(B879," ")))</f>
        <v/>
      </c>
      <c r="D879" s="3" t="str">
        <f t="shared" si="15"/>
        <v/>
      </c>
      <c r="E879" s="159" t="str">
        <f>IF(C879="","",_xlfn.XLOOKUP(C879,Legend!$A$10:$A$26,Legend!$C$10:$C$26,"NOT FOUND",0,1))</f>
        <v/>
      </c>
      <c r="F879" s="160" t="str">
        <f>IF(C879="","",_xlfn.XLOOKUP(D879,Legend!$A$29:$A$118,Legend!$B$29:$B$118,"NOT FOUND",0,1))</f>
        <v/>
      </c>
      <c r="G879" s="268" t="str">
        <f>IF(C879="","",_xlfn.XLOOKUP(D879,Legend!$A$29:$A$118,Legend!$C$29:$C$118,"NOT FOUND",0,1))</f>
        <v/>
      </c>
    </row>
    <row r="880" spans="1:7" x14ac:dyDescent="0.2">
      <c r="A880" s="3">
        <v>1</v>
      </c>
      <c r="C880" s="3" t="str">
        <f>IF(B880="","",IF(ISNUMBER(VALUE(_xlfn.TEXTBEFORE(B880," "))),_xlfn.XLOOKUP(VALUE(_xlfn.TEXTBEFORE(B880," ")),Legend!$B$11:$B$26,Legend!$A$11:$A$26,"NOT FOUND",0,1),_xlfn.TEXTBEFORE(B880," ")))</f>
        <v/>
      </c>
      <c r="D880" s="3" t="str">
        <f t="shared" si="15"/>
        <v/>
      </c>
      <c r="E880" s="159" t="str">
        <f>IF(C880="","",_xlfn.XLOOKUP(C880,Legend!$A$10:$A$26,Legend!$C$10:$C$26,"NOT FOUND",0,1))</f>
        <v/>
      </c>
      <c r="F880" s="160" t="str">
        <f>IF(C880="","",_xlfn.XLOOKUP(D880,Legend!$A$29:$A$118,Legend!$B$29:$B$118,"NOT FOUND",0,1))</f>
        <v/>
      </c>
      <c r="G880" s="268" t="str">
        <f>IF(C880="","",_xlfn.XLOOKUP(D880,Legend!$A$29:$A$118,Legend!$C$29:$C$118,"NOT FOUND",0,1))</f>
        <v/>
      </c>
    </row>
    <row r="881" spans="1:7" x14ac:dyDescent="0.2">
      <c r="A881" s="3">
        <v>1</v>
      </c>
      <c r="C881" s="3" t="str">
        <f>IF(B881="","",IF(ISNUMBER(VALUE(_xlfn.TEXTBEFORE(B881," "))),_xlfn.XLOOKUP(VALUE(_xlfn.TEXTBEFORE(B881," ")),Legend!$B$11:$B$26,Legend!$A$11:$A$26,"NOT FOUND",0,1),_xlfn.TEXTBEFORE(B881," ")))</f>
        <v/>
      </c>
      <c r="D881" s="3" t="str">
        <f t="shared" si="15"/>
        <v/>
      </c>
      <c r="E881" s="159" t="str">
        <f>IF(C881="","",_xlfn.XLOOKUP(C881,Legend!$A$10:$A$26,Legend!$C$10:$C$26,"NOT FOUND",0,1))</f>
        <v/>
      </c>
      <c r="F881" s="160" t="str">
        <f>IF(C881="","",_xlfn.XLOOKUP(D881,Legend!$A$29:$A$118,Legend!$B$29:$B$118,"NOT FOUND",0,1))</f>
        <v/>
      </c>
      <c r="G881" s="268" t="str">
        <f>IF(C881="","",_xlfn.XLOOKUP(D881,Legend!$A$29:$A$118,Legend!$C$29:$C$118,"NOT FOUND",0,1))</f>
        <v/>
      </c>
    </row>
    <row r="882" spans="1:7" x14ac:dyDescent="0.2">
      <c r="A882" s="3">
        <v>1</v>
      </c>
      <c r="C882" s="3" t="str">
        <f>IF(B882="","",IF(ISNUMBER(VALUE(_xlfn.TEXTBEFORE(B882," "))),_xlfn.XLOOKUP(VALUE(_xlfn.TEXTBEFORE(B882," ")),Legend!$B$11:$B$26,Legend!$A$11:$A$26,"NOT FOUND",0,1),_xlfn.TEXTBEFORE(B882," ")))</f>
        <v/>
      </c>
      <c r="D882" s="3" t="str">
        <f t="shared" si="15"/>
        <v/>
      </c>
      <c r="E882" s="159" t="str">
        <f>IF(C882="","",_xlfn.XLOOKUP(C882,Legend!$A$10:$A$26,Legend!$C$10:$C$26,"NOT FOUND",0,1))</f>
        <v/>
      </c>
      <c r="F882" s="160" t="str">
        <f>IF(C882="","",_xlfn.XLOOKUP(D882,Legend!$A$29:$A$118,Legend!$B$29:$B$118,"NOT FOUND",0,1))</f>
        <v/>
      </c>
      <c r="G882" s="268" t="str">
        <f>IF(C882="","",_xlfn.XLOOKUP(D882,Legend!$A$29:$A$118,Legend!$C$29:$C$118,"NOT FOUND",0,1))</f>
        <v/>
      </c>
    </row>
    <row r="883" spans="1:7" x14ac:dyDescent="0.2">
      <c r="A883" s="3">
        <v>1</v>
      </c>
    </row>
    <row r="884" spans="1:7" x14ac:dyDescent="0.2">
      <c r="A884" s="3">
        <v>1</v>
      </c>
    </row>
    <row r="885" spans="1:7" x14ac:dyDescent="0.2">
      <c r="A885" s="3">
        <v>1</v>
      </c>
    </row>
    <row r="886" spans="1:7" x14ac:dyDescent="0.2">
      <c r="A886" s="3">
        <v>1</v>
      </c>
    </row>
    <row r="887" spans="1:7" x14ac:dyDescent="0.2">
      <c r="A887" s="3">
        <v>1</v>
      </c>
    </row>
    <row r="888" spans="1:7" x14ac:dyDescent="0.2">
      <c r="A888" s="3">
        <v>1</v>
      </c>
    </row>
    <row r="889" spans="1:7" x14ac:dyDescent="0.2">
      <c r="A889" s="3">
        <v>1</v>
      </c>
    </row>
    <row r="890" spans="1:7" x14ac:dyDescent="0.2">
      <c r="A890" s="3">
        <v>1</v>
      </c>
    </row>
    <row r="891" spans="1:7" x14ac:dyDescent="0.2">
      <c r="A891" s="3">
        <v>1</v>
      </c>
    </row>
    <row r="892" spans="1:7" x14ac:dyDescent="0.2">
      <c r="A892" s="3">
        <v>1</v>
      </c>
    </row>
    <row r="893" spans="1:7" x14ac:dyDescent="0.2">
      <c r="A893" s="3">
        <v>1</v>
      </c>
    </row>
    <row r="894" spans="1:7" x14ac:dyDescent="0.2">
      <c r="A894" s="3">
        <v>1</v>
      </c>
    </row>
    <row r="895" spans="1:7" x14ac:dyDescent="0.2">
      <c r="A895" s="3">
        <v>1</v>
      </c>
    </row>
    <row r="896" spans="1:7" x14ac:dyDescent="0.2">
      <c r="A896" s="3">
        <v>1</v>
      </c>
    </row>
    <row r="897" spans="1:1" x14ac:dyDescent="0.2">
      <c r="A897" s="3">
        <v>1</v>
      </c>
    </row>
    <row r="898" spans="1:1" x14ac:dyDescent="0.2">
      <c r="A898" s="3">
        <v>1</v>
      </c>
    </row>
    <row r="899" spans="1:1" x14ac:dyDescent="0.2">
      <c r="A899" s="3">
        <v>1</v>
      </c>
    </row>
    <row r="900" spans="1:1" x14ac:dyDescent="0.2">
      <c r="A900" s="3">
        <v>1</v>
      </c>
    </row>
    <row r="901" spans="1:1" x14ac:dyDescent="0.2">
      <c r="A901" s="3">
        <v>1</v>
      </c>
    </row>
    <row r="902" spans="1:1" x14ac:dyDescent="0.2">
      <c r="A902" s="3">
        <v>1</v>
      </c>
    </row>
    <row r="903" spans="1:1" x14ac:dyDescent="0.2">
      <c r="A903" s="3">
        <v>1</v>
      </c>
    </row>
    <row r="904" spans="1:1" x14ac:dyDescent="0.2">
      <c r="A904" s="3">
        <v>1</v>
      </c>
    </row>
    <row r="905" spans="1:1" x14ac:dyDescent="0.2">
      <c r="A905" s="3">
        <v>1</v>
      </c>
    </row>
    <row r="906" spans="1:1" x14ac:dyDescent="0.2">
      <c r="A906" s="3">
        <v>1</v>
      </c>
    </row>
    <row r="907" spans="1:1" x14ac:dyDescent="0.2">
      <c r="A907" s="3">
        <v>1</v>
      </c>
    </row>
    <row r="908" spans="1:1" x14ac:dyDescent="0.2">
      <c r="A908" s="3">
        <v>1</v>
      </c>
    </row>
    <row r="909" spans="1:1" x14ac:dyDescent="0.2">
      <c r="A909" s="3">
        <v>1</v>
      </c>
    </row>
    <row r="910" spans="1:1" x14ac:dyDescent="0.2">
      <c r="A910" s="3">
        <v>1</v>
      </c>
    </row>
    <row r="911" spans="1:1" x14ac:dyDescent="0.2">
      <c r="A911" s="3">
        <v>1</v>
      </c>
    </row>
    <row r="912" spans="1:1" x14ac:dyDescent="0.2">
      <c r="A912" s="3">
        <v>1</v>
      </c>
    </row>
    <row r="913" spans="1:1" x14ac:dyDescent="0.2">
      <c r="A913" s="3">
        <v>1</v>
      </c>
    </row>
    <row r="914" spans="1:1" x14ac:dyDescent="0.2">
      <c r="A914" s="3">
        <v>1</v>
      </c>
    </row>
    <row r="915" spans="1:1" x14ac:dyDescent="0.2">
      <c r="A915" s="3">
        <v>1</v>
      </c>
    </row>
    <row r="916" spans="1:1" x14ac:dyDescent="0.2">
      <c r="A916" s="3">
        <v>1</v>
      </c>
    </row>
    <row r="917" spans="1:1" x14ac:dyDescent="0.2">
      <c r="A917" s="3">
        <v>1</v>
      </c>
    </row>
    <row r="918" spans="1:1" x14ac:dyDescent="0.2">
      <c r="A918" s="3">
        <v>1</v>
      </c>
    </row>
    <row r="919" spans="1:1" x14ac:dyDescent="0.2">
      <c r="A919" s="3">
        <v>1</v>
      </c>
    </row>
    <row r="920" spans="1:1" x14ac:dyDescent="0.2">
      <c r="A920" s="3">
        <v>1</v>
      </c>
    </row>
    <row r="921" spans="1:1" x14ac:dyDescent="0.2">
      <c r="A921" s="3">
        <v>1</v>
      </c>
    </row>
    <row r="922" spans="1:1" x14ac:dyDescent="0.2">
      <c r="A922" s="3">
        <v>1</v>
      </c>
    </row>
    <row r="923" spans="1:1" x14ac:dyDescent="0.2">
      <c r="A923" s="3">
        <v>1</v>
      </c>
    </row>
    <row r="924" spans="1:1" x14ac:dyDescent="0.2">
      <c r="A924" s="3">
        <v>1</v>
      </c>
    </row>
    <row r="925" spans="1:1" x14ac:dyDescent="0.2">
      <c r="A925" s="3">
        <v>1</v>
      </c>
    </row>
    <row r="926" spans="1:1" x14ac:dyDescent="0.2">
      <c r="A926" s="3">
        <v>1</v>
      </c>
    </row>
    <row r="927" spans="1:1" x14ac:dyDescent="0.2">
      <c r="A927" s="3">
        <v>1</v>
      </c>
    </row>
    <row r="928" spans="1:1" x14ac:dyDescent="0.2">
      <c r="A928" s="3">
        <v>1</v>
      </c>
    </row>
    <row r="929" spans="1:1" x14ac:dyDescent="0.2">
      <c r="A929" s="3">
        <v>1</v>
      </c>
    </row>
    <row r="930" spans="1:1" x14ac:dyDescent="0.2">
      <c r="A930" s="3">
        <v>1</v>
      </c>
    </row>
    <row r="931" spans="1:1" x14ac:dyDescent="0.2">
      <c r="A931" s="3">
        <v>1</v>
      </c>
    </row>
    <row r="932" spans="1:1" x14ac:dyDescent="0.2">
      <c r="A932" s="3">
        <v>1</v>
      </c>
    </row>
    <row r="933" spans="1:1" x14ac:dyDescent="0.2">
      <c r="A933" s="3">
        <v>1</v>
      </c>
    </row>
    <row r="934" spans="1:1" x14ac:dyDescent="0.2">
      <c r="A934" s="3">
        <v>1</v>
      </c>
    </row>
    <row r="935" spans="1:1" x14ac:dyDescent="0.2">
      <c r="A935" s="3">
        <v>1</v>
      </c>
    </row>
    <row r="936" spans="1:1" x14ac:dyDescent="0.2">
      <c r="A936" s="3">
        <v>1</v>
      </c>
    </row>
    <row r="937" spans="1:1" x14ac:dyDescent="0.2">
      <c r="A937" s="3">
        <v>1</v>
      </c>
    </row>
    <row r="938" spans="1:1" x14ac:dyDescent="0.2">
      <c r="A938" s="3">
        <v>1</v>
      </c>
    </row>
    <row r="939" spans="1:1" x14ac:dyDescent="0.2">
      <c r="A939" s="3">
        <v>1</v>
      </c>
    </row>
    <row r="940" spans="1:1" x14ac:dyDescent="0.2">
      <c r="A940" s="3">
        <v>1</v>
      </c>
    </row>
    <row r="941" spans="1:1" x14ac:dyDescent="0.2">
      <c r="A941" s="3">
        <v>1</v>
      </c>
    </row>
    <row r="942" spans="1:1" x14ac:dyDescent="0.2">
      <c r="A942" s="3">
        <v>1</v>
      </c>
    </row>
    <row r="943" spans="1:1" x14ac:dyDescent="0.2">
      <c r="A943" s="3">
        <v>1</v>
      </c>
    </row>
    <row r="944" spans="1:1" x14ac:dyDescent="0.2">
      <c r="A944" s="3">
        <v>1</v>
      </c>
    </row>
    <row r="945" spans="1:1" x14ac:dyDescent="0.2">
      <c r="A945" s="3">
        <v>1</v>
      </c>
    </row>
    <row r="946" spans="1:1" x14ac:dyDescent="0.2">
      <c r="A946" s="3">
        <v>1</v>
      </c>
    </row>
    <row r="947" spans="1:1" x14ac:dyDescent="0.2">
      <c r="A947" s="3">
        <v>1</v>
      </c>
    </row>
    <row r="948" spans="1:1" x14ac:dyDescent="0.2">
      <c r="A948" s="3">
        <v>1</v>
      </c>
    </row>
    <row r="949" spans="1:1" x14ac:dyDescent="0.2">
      <c r="A949" s="3">
        <v>1</v>
      </c>
    </row>
    <row r="950" spans="1:1" x14ac:dyDescent="0.2">
      <c r="A950" s="3">
        <v>1</v>
      </c>
    </row>
    <row r="951" spans="1:1" x14ac:dyDescent="0.2">
      <c r="A951" s="3">
        <v>1</v>
      </c>
    </row>
    <row r="952" spans="1:1" x14ac:dyDescent="0.2">
      <c r="A952" s="3">
        <v>1</v>
      </c>
    </row>
    <row r="953" spans="1:1" x14ac:dyDescent="0.2">
      <c r="A953" s="3">
        <v>1</v>
      </c>
    </row>
    <row r="954" spans="1:1" x14ac:dyDescent="0.2">
      <c r="A954" s="3">
        <v>1</v>
      </c>
    </row>
    <row r="955" spans="1:1" x14ac:dyDescent="0.2">
      <c r="A955" s="3">
        <v>1</v>
      </c>
    </row>
    <row r="956" spans="1:1" x14ac:dyDescent="0.2">
      <c r="A956" s="3">
        <v>1</v>
      </c>
    </row>
  </sheetData>
  <sortState xmlns:xlrd2="http://schemas.microsoft.com/office/spreadsheetml/2017/richdata2" ref="A2:G882">
    <sortCondition ref="B27:B882"/>
  </sortState>
  <conditionalFormatting sqref="A1:A1048576">
    <cfRule type="cellIs" dxfId="87" priority="1" operator="equal">
      <formula>5</formula>
    </cfRule>
    <cfRule type="cellIs" dxfId="86" priority="2" operator="equal">
      <formula>4</formula>
    </cfRule>
    <cfRule type="cellIs" dxfId="85" priority="3" operator="equal">
      <formula>3</formula>
    </cfRule>
    <cfRule type="cellIs" dxfId="84" priority="4" operator="equal">
      <formula>2</formula>
    </cfRule>
    <cfRule type="cellIs" dxfId="83" priority="5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561F-EA68-384C-8030-9F2581BDB80B}">
  <dimension ref="B1:AG62"/>
  <sheetViews>
    <sheetView topLeftCell="A17" zoomScale="101" workbookViewId="0">
      <selection activeCell="C21" sqref="C21"/>
    </sheetView>
  </sheetViews>
  <sheetFormatPr baseColWidth="10" defaultColWidth="11" defaultRowHeight="16" x14ac:dyDescent="0.2"/>
  <cols>
    <col min="1" max="1" width="2.1640625" customWidth="1"/>
    <col min="2" max="2" width="3.1640625" hidden="1" customWidth="1"/>
    <col min="3" max="3" width="15.5" customWidth="1"/>
    <col min="4" max="7" width="7.33203125" style="3" customWidth="1"/>
    <col min="8" max="31" width="7.33203125" customWidth="1"/>
  </cols>
  <sheetData>
    <row r="1" spans="3:8" hidden="1" x14ac:dyDescent="0.2"/>
    <row r="2" spans="3:8" hidden="1" x14ac:dyDescent="0.2">
      <c r="C2" t="s">
        <v>108</v>
      </c>
      <c r="D2" s="3">
        <f>COUNTIFS(Data!$A:$A,"="&amp;D$18,Data!$C:$C,"&lt;&gt;"&amp;OppKey,Data!$D:$D,"="&amp;ServeAce)</f>
        <v>0</v>
      </c>
      <c r="E2" s="3">
        <f>COUNTIFS(Data!$A:$A,"="&amp;E$18,Data!$C:$C,"&lt;&gt;"&amp;OppKey,Data!$D:$D,"="&amp;ServeAce)</f>
        <v>0</v>
      </c>
      <c r="F2" s="3">
        <f>COUNTIFS(Data!$A:$A,"="&amp;F$18,Data!$C:$C,"&lt;&gt;"&amp;OppKey,Data!$D:$D,"="&amp;ServeAce)</f>
        <v>0</v>
      </c>
      <c r="G2" s="3">
        <f>COUNTIFS(Data!$A:$A,"="&amp;G$18,Data!$C:$C,"&lt;&gt;"&amp;OppKey,Data!$D:$D,"="&amp;ServeAce)</f>
        <v>0</v>
      </c>
      <c r="H2" s="3">
        <f>COUNTIFS(Data!$A:$A,"="&amp;H$18,Data!$C:$C,"&lt;&gt;"&amp;OppKey,Data!$D:$D,"="&amp;ServeAce)</f>
        <v>0</v>
      </c>
    </row>
    <row r="3" spans="3:8" hidden="1" x14ac:dyDescent="0.2">
      <c r="C3" t="s">
        <v>109</v>
      </c>
      <c r="D3" s="3">
        <f>COUNTIFS(Data!$A:$A,"="&amp;D$18,Data!$C:$C,"&lt;&gt;"&amp;OppKey,Data!$D:$D,"="&amp;ServeError)</f>
        <v>0</v>
      </c>
      <c r="E3" s="3">
        <f>COUNTIFS(Data!$A:$A,"="&amp;E$18,Data!$C:$C,"&lt;&gt;"&amp;OppKey,Data!$D:$D,"="&amp;ServeError)</f>
        <v>0</v>
      </c>
      <c r="F3" s="3">
        <f>COUNTIFS(Data!$A:$A,"="&amp;F$18,Data!$C:$C,"&lt;&gt;"&amp;OppKey,Data!$D:$D,"="&amp;ServeError)</f>
        <v>0</v>
      </c>
      <c r="G3" s="3">
        <f>COUNTIFS(Data!$A:$A,"="&amp;G$18,Data!$C:$C,"&lt;&gt;"&amp;OppKey,Data!$D:$D,"="&amp;ServeError)</f>
        <v>0</v>
      </c>
      <c r="H3" s="3">
        <f>COUNTIFS(Data!$A:$A,"="&amp;H$18,Data!$C:$C,"&lt;&gt;"&amp;OppKey,Data!$D:$D,"="&amp;ServeError)</f>
        <v>0</v>
      </c>
    </row>
    <row r="4" spans="3:8" hidden="1" x14ac:dyDescent="0.2">
      <c r="C4" t="s">
        <v>110</v>
      </c>
      <c r="D4" s="3">
        <f>COUNTIFS(Data!$A:$A,"="&amp;D$18,Data!$C:$C,"&lt;&gt;"&amp;OppKey,Data!$D:$D,"="&amp;Pass0)</f>
        <v>0</v>
      </c>
      <c r="E4" s="3">
        <f>COUNTIFS(Data!$A:$A,"="&amp;E$18,Data!$C:$C,"&lt;&gt;"&amp;OppKey,Data!$D:$D,"="&amp;Pass0)</f>
        <v>0</v>
      </c>
      <c r="F4" s="3">
        <f>COUNTIFS(Data!$A:$A,"="&amp;F$18,Data!$C:$C,"&lt;&gt;"&amp;OppKey,Data!$D:$D,"="&amp;Pass0)</f>
        <v>0</v>
      </c>
      <c r="G4" s="3">
        <f>COUNTIFS(Data!$A:$A,"="&amp;G$18,Data!$C:$C,"&lt;&gt;"&amp;OppKey,Data!$D:$D,"="&amp;Pass0)</f>
        <v>0</v>
      </c>
      <c r="H4" s="3">
        <f>COUNTIFS(Data!$A:$A,"="&amp;H$18,Data!$C:$C,"&lt;&gt;"&amp;OppKey,Data!$D:$D,"="&amp;Pass0)</f>
        <v>0</v>
      </c>
    </row>
    <row r="5" spans="3:8" hidden="1" x14ac:dyDescent="0.2">
      <c r="C5" t="s">
        <v>111</v>
      </c>
      <c r="D5" s="3">
        <f>COUNTIFS(Data!$A:$A,"="&amp;D$18,Data!$C:$C,"&lt;&gt;"&amp;OppKey,Data!$D:$D,"="&amp;KillSuccess)</f>
        <v>0</v>
      </c>
      <c r="E5" s="3">
        <f>COUNTIFS(Data!$A:$A,"="&amp;E$18,Data!$C:$C,"&lt;&gt;"&amp;OppKey,Data!$D:$D,"="&amp;KillSuccess)</f>
        <v>0</v>
      </c>
      <c r="F5" s="3">
        <f>COUNTIFS(Data!$A:$A,"="&amp;F$18,Data!$C:$C,"&lt;&gt;"&amp;OppKey,Data!$D:$D,"="&amp;KillSuccess)</f>
        <v>0</v>
      </c>
      <c r="G5" s="3">
        <f>COUNTIFS(Data!$A:$A,"="&amp;G$18,Data!$C:$C,"&lt;&gt;"&amp;OppKey,Data!$D:$D,"="&amp;KillSuccess)</f>
        <v>0</v>
      </c>
      <c r="H5" s="3">
        <f>COUNTIFS(Data!$A:$A,"="&amp;H$18,Data!$C:$C,"&lt;&gt;"&amp;OppKey,Data!$D:$D,"="&amp;KillSuccess)</f>
        <v>0</v>
      </c>
    </row>
    <row r="6" spans="3:8" hidden="1" x14ac:dyDescent="0.2">
      <c r="C6" t="s">
        <v>112</v>
      </c>
      <c r="D6" s="3">
        <f>COUNTIFS(Data!$A:$A,"="&amp;D$18,Data!$C:$C,"&lt;&gt;"&amp;OppKey,Data!$D:$D,"="&amp;KillError)</f>
        <v>0</v>
      </c>
      <c r="E6" s="3">
        <f>COUNTIFS(Data!$A:$A,"="&amp;E$18,Data!$C:$C,"&lt;&gt;"&amp;OppKey,Data!$D:$D,"="&amp;KillError)</f>
        <v>0</v>
      </c>
      <c r="F6" s="3">
        <f>COUNTIFS(Data!$A:$A,"="&amp;F$18,Data!$C:$C,"&lt;&gt;"&amp;OppKey,Data!$D:$D,"="&amp;KillError)</f>
        <v>0</v>
      </c>
      <c r="G6" s="3">
        <f>COUNTIFS(Data!$A:$A,"="&amp;G$18,Data!$C:$C,"&lt;&gt;"&amp;OppKey,Data!$D:$D,"="&amp;KillError)</f>
        <v>0</v>
      </c>
      <c r="H6" s="3">
        <f>COUNTIFS(Data!$A:$A,"="&amp;H$18,Data!$C:$C,"&lt;&gt;"&amp;OppKey,Data!$D:$D,"="&amp;KillError)</f>
        <v>0</v>
      </c>
    </row>
    <row r="7" spans="3:8" hidden="1" x14ac:dyDescent="0.2">
      <c r="C7" t="s">
        <v>113</v>
      </c>
      <c r="D7" s="3">
        <f>COUNTIFS(Data!$A:$A,"="&amp;D$18,Data!$C:$C,"&lt;&gt;"&amp;OppKey,Data!$D:$D,"="&amp;AssistError)</f>
        <v>0</v>
      </c>
      <c r="E7" s="3">
        <f>COUNTIFS(Data!$A:$A,"="&amp;E$18,Data!$C:$C,"&lt;&gt;"&amp;OppKey,Data!$D:$D,"="&amp;AssistError)</f>
        <v>0</v>
      </c>
      <c r="F7" s="3">
        <f>COUNTIFS(Data!$A:$A,"="&amp;F$18,Data!$C:$C,"&lt;&gt;"&amp;OppKey,Data!$D:$D,"="&amp;AssistError)</f>
        <v>0</v>
      </c>
      <c r="G7" s="3">
        <f>COUNTIFS(Data!$A:$A,"="&amp;G$18,Data!$C:$C,"&lt;&gt;"&amp;OppKey,Data!$D:$D,"="&amp;AssistError)</f>
        <v>0</v>
      </c>
      <c r="H7" s="3">
        <f>COUNTIFS(Data!$A:$A,"="&amp;H$18,Data!$C:$C,"&lt;&gt;"&amp;OppKey,Data!$D:$D,"="&amp;AssistError)</f>
        <v>0</v>
      </c>
    </row>
    <row r="8" spans="3:8" hidden="1" x14ac:dyDescent="0.2">
      <c r="C8" t="s">
        <v>114</v>
      </c>
      <c r="D8" s="3" cm="1">
        <f t="array" ref="D8">COUNTIFS(Data!$A:$A,"="&amp;D$18,Data!$C:$C,"&lt;&gt;"&amp;OppKey,Data!$D:$D,"="&amp;BlockKillHalf)</f>
        <v>0</v>
      </c>
      <c r="E8" s="3" cm="1">
        <f t="array" ref="E8">COUNTIFS(Data!$A:$A,"="&amp;E$18,Data!$C:$C,"&lt;&gt;"&amp;OppKey,Data!$D:$D,"="&amp;BlockKillHalf)</f>
        <v>0</v>
      </c>
      <c r="F8" s="3" cm="1">
        <f t="array" ref="F8">COUNTIFS(Data!$A:$A,"="&amp;F$18,Data!$C:$C,"&lt;&gt;"&amp;OppKey,Data!$D:$D,"="&amp;BlockKillHalf)</f>
        <v>0</v>
      </c>
      <c r="G8" s="3" cm="1">
        <f t="array" ref="G8">COUNTIFS(Data!$A:$A,"="&amp;G$18,Data!$C:$C,"&lt;&gt;"&amp;OppKey,Data!$D:$D,"="&amp;BlockKillHalf)</f>
        <v>0</v>
      </c>
      <c r="H8" s="3" cm="1">
        <f t="array" ref="H8">COUNTIFS(Data!$A:$A,"="&amp;H$18,Data!$C:$C,"&lt;&gt;"&amp;OppKey,Data!$D:$D,"="&amp;BlockKillHalf)</f>
        <v>0</v>
      </c>
    </row>
    <row r="9" spans="3:8" hidden="1" x14ac:dyDescent="0.2">
      <c r="C9" t="s">
        <v>115</v>
      </c>
      <c r="D9" s="3">
        <f>COUNTIFS(Data!$A:$A,"="&amp;D$18,Data!$C:$C,"&lt;&gt;"&amp;OppKey,Data!$D:$D,"="&amp;BlockKillSolo)</f>
        <v>0</v>
      </c>
      <c r="E9" s="3">
        <f>COUNTIFS(Data!$A:$A,"="&amp;E$18,Data!$C:$C,"&lt;&gt;"&amp;OppKey,Data!$D:$D,"="&amp;BlockKillSolo)</f>
        <v>0</v>
      </c>
      <c r="F9" s="3">
        <f>COUNTIFS(Data!$A:$A,"="&amp;F$18,Data!$C:$C,"&lt;&gt;"&amp;OppKey,Data!$D:$D,"="&amp;BlockKillSolo)</f>
        <v>0</v>
      </c>
      <c r="G9" s="3">
        <f>COUNTIFS(Data!$A:$A,"="&amp;G$18,Data!$C:$C,"&lt;&gt;"&amp;OppKey,Data!$D:$D,"="&amp;BlockKillSolo)</f>
        <v>0</v>
      </c>
      <c r="H9" s="3">
        <f>COUNTIFS(Data!$A:$A,"="&amp;H$18,Data!$C:$C,"&lt;&gt;"&amp;OppKey,Data!$D:$D,"="&amp;BlockKillSolo)</f>
        <v>0</v>
      </c>
    </row>
    <row r="10" spans="3:8" hidden="1" x14ac:dyDescent="0.2">
      <c r="C10" t="s">
        <v>119</v>
      </c>
      <c r="D10" s="3">
        <f>COUNTIFS(Data!$A:$A,"="&amp;D$18,Data!$C:$C,"&lt;&gt;"&amp;OppKey,Data!$D:$D,"="&amp;GeneralError)</f>
        <v>0</v>
      </c>
      <c r="E10" s="3">
        <f>COUNTIFS(Data!$A:$A,"="&amp;E$18,Data!$C:$C,"&lt;&gt;"&amp;OppKey,Data!$D:$D,"="&amp;GeneralError)</f>
        <v>0</v>
      </c>
      <c r="F10" s="3">
        <f>COUNTIFS(Data!$A:$A,"="&amp;F$18,Data!$C:$C,"&lt;&gt;"&amp;OppKey,Data!$D:$D,"="&amp;GeneralError)</f>
        <v>0</v>
      </c>
      <c r="G10" s="3">
        <f>COUNTIFS(Data!$A:$A,"="&amp;G$18,Data!$C:$C,"&lt;&gt;"&amp;OppKey,Data!$D:$D,"="&amp;GeneralError)</f>
        <v>0</v>
      </c>
      <c r="H10" s="3">
        <f>COUNTIFS(Data!$A:$A,"="&amp;H$18,Data!$C:$C,"&lt;&gt;"&amp;OppKey,Data!$D:$D,"="&amp;GeneralError)</f>
        <v>0</v>
      </c>
    </row>
    <row r="11" spans="3:8" hidden="1" x14ac:dyDescent="0.2">
      <c r="H11" s="3"/>
    </row>
    <row r="12" spans="3:8" hidden="1" x14ac:dyDescent="0.2">
      <c r="C12" t="s">
        <v>107</v>
      </c>
      <c r="D12" s="3">
        <f>COUNTIFS(Data!$A:$A,"="&amp;D$18,Data!$C:$C,"="&amp;OppKey,Data!$D:$D,"="&amp;ServeAce)</f>
        <v>0</v>
      </c>
      <c r="E12" s="3">
        <f>COUNTIFS(Data!$A:$A,"="&amp;E$18,Data!$C:$C,"="&amp;OppKey,Data!$D:$D,"="&amp;ServeAce)</f>
        <v>0</v>
      </c>
      <c r="F12" s="3">
        <f>COUNTIFS(Data!$A:$A,"="&amp;F$18,Data!$C:$C,"="&amp;OppKey,Data!$D:$D,"="&amp;ServeAce)</f>
        <v>0</v>
      </c>
      <c r="G12" s="3">
        <f>COUNTIFS(Data!$A:$A,"="&amp;G$18,Data!$C:$C,"="&amp;OppKey,Data!$D:$D,"="&amp;ServeAce)</f>
        <v>0</v>
      </c>
      <c r="H12" s="3">
        <f>COUNTIFS(Data!$A:$A,"="&amp;H$18,Data!$C:$C,"="&amp;OppKey,Data!$D:$D,"="&amp;ServeAce)</f>
        <v>0</v>
      </c>
    </row>
    <row r="13" spans="3:8" hidden="1" x14ac:dyDescent="0.2">
      <c r="C13" t="s">
        <v>117</v>
      </c>
      <c r="D13" s="3">
        <f>COUNTIFS(Data!$A:$A,"="&amp;D$18,Data!$C:$C,"="&amp;OppKey,Data!$D:$D,"="&amp;ServeError)</f>
        <v>0</v>
      </c>
      <c r="E13" s="3">
        <f>COUNTIFS(Data!$A:$A,"="&amp;E$18,Data!$C:$C,"="&amp;OppKey,Data!$D:$D,"="&amp;ServeError)</f>
        <v>0</v>
      </c>
      <c r="F13" s="3">
        <f>COUNTIFS(Data!$A:$A,"="&amp;F$18,Data!$C:$C,"="&amp;OppKey,Data!$D:$D,"="&amp;ServeError)</f>
        <v>0</v>
      </c>
      <c r="G13" s="3">
        <f>COUNTIFS(Data!$A:$A,"="&amp;G$18,Data!$C:$C,"="&amp;OppKey,Data!$D:$D,"="&amp;ServeError)</f>
        <v>0</v>
      </c>
      <c r="H13" s="3">
        <f>COUNTIFS(Data!$A:$A,"="&amp;H$18,Data!$C:$C,"="&amp;OppKey,Data!$D:$D,"="&amp;ServeError)</f>
        <v>0</v>
      </c>
    </row>
    <row r="14" spans="3:8" hidden="1" x14ac:dyDescent="0.2">
      <c r="C14" t="s">
        <v>116</v>
      </c>
      <c r="D14" s="3">
        <f>COUNTIFS(Data!$A:$A,"="&amp;D$18,Data!$C:$C,"="&amp;OppKey,Data!$D:$D,"="&amp;KillSuccess)</f>
        <v>0</v>
      </c>
      <c r="E14" s="3">
        <f>COUNTIFS(Data!$A:$A,"="&amp;E$18,Data!$C:$C,"="&amp;OppKey,Data!$D:$D,"="&amp;KillSuccess)</f>
        <v>0</v>
      </c>
      <c r="F14" s="3">
        <f>COUNTIFS(Data!$A:$A,"="&amp;F$18,Data!$C:$C,"="&amp;OppKey,Data!$D:$D,"="&amp;KillSuccess)</f>
        <v>0</v>
      </c>
      <c r="G14" s="3">
        <f>COUNTIFS(Data!$A:$A,"="&amp;G$18,Data!$C:$C,"="&amp;OppKey,Data!$D:$D,"="&amp;KillSuccess)</f>
        <v>0</v>
      </c>
      <c r="H14" s="3">
        <f>COUNTIFS(Data!$A:$A,"="&amp;H$18,Data!$C:$C,"="&amp;OppKey,Data!$D:$D,"="&amp;KillSuccess)</f>
        <v>0</v>
      </c>
    </row>
    <row r="15" spans="3:8" hidden="1" x14ac:dyDescent="0.2">
      <c r="C15" t="s">
        <v>118</v>
      </c>
      <c r="D15" s="3">
        <f>COUNTIFS(Data!$A:$A,"="&amp;D$18,Data!$C:$C,"="&amp;OppKey,Data!$D:$D,"="&amp;KillError)</f>
        <v>0</v>
      </c>
      <c r="E15" s="3">
        <f>COUNTIFS(Data!$A:$A,"="&amp;E$18,Data!$C:$C,"="&amp;OppKey,Data!$D:$D,"="&amp;KillError)</f>
        <v>0</v>
      </c>
      <c r="F15" s="3">
        <f>COUNTIFS(Data!$A:$A,"="&amp;F$18,Data!$C:$C,"="&amp;OppKey,Data!$D:$D,"="&amp;KillError)</f>
        <v>0</v>
      </c>
      <c r="G15" s="3">
        <f>COUNTIFS(Data!$A:$A,"="&amp;G$18,Data!$C:$C,"="&amp;OppKey,Data!$D:$D,"="&amp;KillError)</f>
        <v>0</v>
      </c>
      <c r="H15" s="3">
        <f>COUNTIFS(Data!$A:$A,"="&amp;H$18,Data!$C:$C,"="&amp;OppKey,Data!$D:$D,"="&amp;KillError)</f>
        <v>0</v>
      </c>
    </row>
    <row r="16" spans="3:8" hidden="1" x14ac:dyDescent="0.2">
      <c r="C16" t="s">
        <v>120</v>
      </c>
      <c r="D16" s="3">
        <f>COUNTIFS(Data!$A:$A,"="&amp;D$18,Data!$C:$C,"="&amp;OppKey,Data!$D:$D,"="&amp;GeneralError)</f>
        <v>0</v>
      </c>
      <c r="E16" s="3">
        <f>COUNTIFS(Data!$A:$A,"="&amp;E$18,Data!$C:$C,"="&amp;OppKey,Data!$D:$D,"="&amp;GeneralError)</f>
        <v>0</v>
      </c>
      <c r="F16" s="3">
        <f>COUNTIFS(Data!$A:$A,"="&amp;F$18,Data!$C:$C,"="&amp;OppKey,Data!$D:$D,"="&amp;GeneralError)</f>
        <v>0</v>
      </c>
      <c r="G16" s="3">
        <f>COUNTIFS(Data!$A:$A,"="&amp;G$18,Data!$C:$C,"="&amp;OppKey,Data!$D:$D,"="&amp;GeneralError)</f>
        <v>0</v>
      </c>
      <c r="H16" s="3">
        <f>COUNTIFS(Data!$A:$A,"="&amp;H$18,Data!$C:$C,"="&amp;OppKey,Data!$D:$D,"="&amp;GeneralError)</f>
        <v>0</v>
      </c>
    </row>
    <row r="17" spans="2:33" ht="17" thickBot="1" x14ac:dyDescent="0.25"/>
    <row r="18" spans="2:33" ht="19" x14ac:dyDescent="0.25">
      <c r="C18" s="26" t="s">
        <v>67</v>
      </c>
      <c r="D18" s="109">
        <v>1</v>
      </c>
      <c r="E18" s="110">
        <v>2</v>
      </c>
      <c r="F18" s="110">
        <v>3</v>
      </c>
      <c r="G18" s="110">
        <v>4</v>
      </c>
      <c r="H18" s="111">
        <v>5</v>
      </c>
    </row>
    <row r="19" spans="2:33" ht="19" x14ac:dyDescent="0.25">
      <c r="C19" s="112" t="s">
        <v>173</v>
      </c>
      <c r="D19" s="27">
        <f>D2+D5+D8/2+D9+D13+D15+D16</f>
        <v>0</v>
      </c>
      <c r="E19" s="28">
        <f>E2+E5+E8/2+E9+E13+E15+E16</f>
        <v>0</v>
      </c>
      <c r="F19" s="28">
        <f>F2+F5+F8/2+F9+F13+F15+F16</f>
        <v>0</v>
      </c>
      <c r="G19" s="28">
        <f>G2+G5+G8/2+G9+G13+G15+G16</f>
        <v>0</v>
      </c>
      <c r="H19" s="29">
        <f>H2+H5+H8/2+H9+H13+H15+H16</f>
        <v>0</v>
      </c>
    </row>
    <row r="20" spans="2:33" ht="20" thickBot="1" x14ac:dyDescent="0.3">
      <c r="C20" s="113" t="s">
        <v>174</v>
      </c>
      <c r="D20" s="30">
        <f>D3+D4+D6+D7+D10+D12+D14</f>
        <v>0</v>
      </c>
      <c r="E20" s="31">
        <f>E3+E4+E6+E7+E10+E12+E14</f>
        <v>0</v>
      </c>
      <c r="F20" s="31">
        <f>F3+F4+F6+F7+F10+F12+F14</f>
        <v>0</v>
      </c>
      <c r="G20" s="31">
        <f>G3+G4+G6+G7+G10+G12+G14</f>
        <v>0</v>
      </c>
      <c r="H20" s="32">
        <f>H3+H4+H6+H7+H10+H12+H14</f>
        <v>0</v>
      </c>
    </row>
    <row r="21" spans="2:33" ht="17" thickBot="1" x14ac:dyDescent="0.25">
      <c r="B21" s="4"/>
      <c r="C21" s="3"/>
    </row>
    <row r="22" spans="2:33" x14ac:dyDescent="0.2">
      <c r="C22" s="34" t="s">
        <v>104</v>
      </c>
      <c r="D22" s="304" t="s">
        <v>71</v>
      </c>
      <c r="E22" s="305"/>
      <c r="F22" s="305"/>
      <c r="G22" s="306"/>
      <c r="H22" s="307"/>
      <c r="I22" s="308" t="s">
        <v>64</v>
      </c>
      <c r="J22" s="308"/>
      <c r="K22" s="309"/>
      <c r="L22" s="310" t="s">
        <v>72</v>
      </c>
      <c r="M22" s="311"/>
      <c r="N22" s="311"/>
      <c r="O22" s="311"/>
      <c r="P22" s="312"/>
      <c r="Q22" s="313" t="s">
        <v>73</v>
      </c>
      <c r="R22" s="314"/>
      <c r="S22" s="314"/>
      <c r="T22" s="315"/>
      <c r="U22" s="316" t="s">
        <v>74</v>
      </c>
      <c r="V22" s="317"/>
      <c r="W22" s="317"/>
      <c r="X22" s="318"/>
      <c r="Y22" s="319" t="s">
        <v>75</v>
      </c>
      <c r="Z22" s="320"/>
      <c r="AA22" s="320"/>
      <c r="AB22" s="320"/>
      <c r="AC22" s="320"/>
      <c r="AD22" s="321"/>
      <c r="AE22" s="15" t="s">
        <v>76</v>
      </c>
    </row>
    <row r="23" spans="2:33" x14ac:dyDescent="0.2">
      <c r="B23" s="1" t="s">
        <v>77</v>
      </c>
      <c r="C23" s="180"/>
      <c r="D23" s="161" t="s">
        <v>22</v>
      </c>
      <c r="E23" s="162" t="s">
        <v>78</v>
      </c>
      <c r="F23" s="163" t="s">
        <v>79</v>
      </c>
      <c r="G23" s="164" t="s">
        <v>80</v>
      </c>
      <c r="H23" s="165" t="s">
        <v>81</v>
      </c>
      <c r="I23" s="181" t="s">
        <v>82</v>
      </c>
      <c r="J23" s="163" t="s">
        <v>83</v>
      </c>
      <c r="K23" s="182" t="s">
        <v>80</v>
      </c>
      <c r="L23" s="161">
        <v>3</v>
      </c>
      <c r="M23" s="162">
        <v>2</v>
      </c>
      <c r="N23" s="162">
        <v>1</v>
      </c>
      <c r="O23" s="163">
        <v>0</v>
      </c>
      <c r="P23" s="183" t="s">
        <v>84</v>
      </c>
      <c r="Q23" s="161" t="s">
        <v>85</v>
      </c>
      <c r="R23" s="162" t="s">
        <v>73</v>
      </c>
      <c r="S23" s="163" t="s">
        <v>79</v>
      </c>
      <c r="T23" s="166" t="s">
        <v>86</v>
      </c>
      <c r="U23" s="161" t="s">
        <v>32</v>
      </c>
      <c r="V23" s="162" t="s">
        <v>87</v>
      </c>
      <c r="W23" s="163" t="s">
        <v>79</v>
      </c>
      <c r="X23" s="167" t="s">
        <v>101</v>
      </c>
      <c r="Y23" s="161" t="s">
        <v>140</v>
      </c>
      <c r="Z23" s="163" t="s">
        <v>141</v>
      </c>
      <c r="AA23" s="184" t="s">
        <v>139</v>
      </c>
      <c r="AB23" s="161" t="s">
        <v>132</v>
      </c>
      <c r="AC23" s="163" t="s">
        <v>133</v>
      </c>
      <c r="AD23" s="185" t="s">
        <v>134</v>
      </c>
      <c r="AE23" s="186" t="s">
        <v>79</v>
      </c>
      <c r="AF23" s="4"/>
      <c r="AG23" s="4"/>
    </row>
    <row r="24" spans="2:33" x14ac:dyDescent="0.2">
      <c r="B24" s="1"/>
      <c r="C24" s="64" t="s">
        <v>88</v>
      </c>
      <c r="D24" s="13">
        <f>SUM(D30:D40)</f>
        <v>0</v>
      </c>
      <c r="E24" s="5">
        <f>SUM(E30:E40)</f>
        <v>0</v>
      </c>
      <c r="F24" s="7">
        <f>SUM(F30:F40)</f>
        <v>0</v>
      </c>
      <c r="G24" s="63">
        <f>SUM(D24:F24)</f>
        <v>0</v>
      </c>
      <c r="H24" s="65">
        <f>IF((F24+E24+D24)=0,0,(D24+E24)/(F24+E24+D24))</f>
        <v>0</v>
      </c>
      <c r="I24" s="92">
        <f t="shared" ref="I24:S24" si="0">SUM(I30:I40)</f>
        <v>0</v>
      </c>
      <c r="J24" s="93">
        <f t="shared" si="0"/>
        <v>0</v>
      </c>
      <c r="K24" s="66">
        <f t="shared" si="0"/>
        <v>0</v>
      </c>
      <c r="L24" s="92">
        <f t="shared" si="0"/>
        <v>0</v>
      </c>
      <c r="M24" s="93">
        <f t="shared" si="0"/>
        <v>0</v>
      </c>
      <c r="N24" s="93">
        <f t="shared" si="0"/>
        <v>0</v>
      </c>
      <c r="O24" s="93">
        <f t="shared" si="0"/>
        <v>0</v>
      </c>
      <c r="P24" s="97">
        <f t="shared" si="0"/>
        <v>0</v>
      </c>
      <c r="Q24" s="92">
        <f t="shared" si="0"/>
        <v>0</v>
      </c>
      <c r="R24" s="93">
        <f t="shared" si="0"/>
        <v>0</v>
      </c>
      <c r="S24" s="102">
        <f t="shared" si="0"/>
        <v>0</v>
      </c>
      <c r="T24" s="118">
        <f t="shared" ref="T24" si="1">IF((Q24+R24+S24)=0,0,(R24-S24)/(Q24+R24+S24))</f>
        <v>0</v>
      </c>
      <c r="U24" s="92">
        <f>SUM(U30:U40)</f>
        <v>0</v>
      </c>
      <c r="V24" s="93">
        <f>SUM(V30:V40)</f>
        <v>0</v>
      </c>
      <c r="W24" s="93">
        <f>SUM(W30:W40)</f>
        <v>0</v>
      </c>
      <c r="X24" s="215">
        <f>IF((U24+V24+W24)=0,0,(V24)/(U24+V24+W24))</f>
        <v>0</v>
      </c>
      <c r="Y24" s="156">
        <f t="shared" ref="Y24:AD24" si="2">SUM(Y30:Y39)</f>
        <v>0</v>
      </c>
      <c r="Z24" s="157">
        <f t="shared" si="2"/>
        <v>0</v>
      </c>
      <c r="AA24" s="108">
        <f t="shared" si="2"/>
        <v>0</v>
      </c>
      <c r="AB24" s="92">
        <f t="shared" si="2"/>
        <v>0</v>
      </c>
      <c r="AC24" s="93">
        <f t="shared" si="2"/>
        <v>0</v>
      </c>
      <c r="AD24" s="108">
        <f t="shared" si="2"/>
        <v>0</v>
      </c>
      <c r="AE24" s="17">
        <f>SUM(AE30:AE40)</f>
        <v>0</v>
      </c>
      <c r="AF24" s="4"/>
      <c r="AG24" s="4"/>
    </row>
    <row r="25" spans="2:33" x14ac:dyDescent="0.2">
      <c r="B25" s="1"/>
      <c r="C25" s="64" t="s">
        <v>106</v>
      </c>
      <c r="D25" s="67" t="e">
        <f>D24/G24</f>
        <v>#DIV/0!</v>
      </c>
      <c r="E25" s="68" t="e">
        <f>E24/G24</f>
        <v>#DIV/0!</v>
      </c>
      <c r="F25" s="69" t="e">
        <f>F24/G24</f>
        <v>#DIV/0!</v>
      </c>
      <c r="G25" s="90"/>
      <c r="H25" s="91"/>
      <c r="I25" s="87"/>
      <c r="J25" s="88"/>
      <c r="K25" s="89"/>
      <c r="L25" s="95" t="e">
        <f>L24/(L24+M24+N24+O24)</f>
        <v>#DIV/0!</v>
      </c>
      <c r="M25" s="96" t="e">
        <f>M24/(L24+M24+N24+O24)</f>
        <v>#DIV/0!</v>
      </c>
      <c r="N25" s="96" t="e">
        <f>N24/(L24+M24+N24+O24)</f>
        <v>#DIV/0!</v>
      </c>
      <c r="O25" s="96" t="e">
        <f>O24/(L24+M24+N24+O24)</f>
        <v>#DIV/0!</v>
      </c>
      <c r="P25" s="98"/>
      <c r="Q25" s="95" t="e">
        <f>Q24/(Q24+R24+S24)</f>
        <v>#DIV/0!</v>
      </c>
      <c r="R25" s="96" t="e">
        <f>R24/(Q24+R24+S24)</f>
        <v>#DIV/0!</v>
      </c>
      <c r="S25" s="100" t="e">
        <f>S24/(S24+R24+Q24)</f>
        <v>#DIV/0!</v>
      </c>
      <c r="T25" s="101"/>
      <c r="U25" s="95" t="e">
        <f>U24/(U24+V24+W24)</f>
        <v>#DIV/0!</v>
      </c>
      <c r="V25" s="96" t="e">
        <f>V24/(U24+V24+W24)</f>
        <v>#DIV/0!</v>
      </c>
      <c r="W25" s="96" t="e">
        <f>W24/(U24+V24+W24)</f>
        <v>#DIV/0!</v>
      </c>
      <c r="X25" s="98"/>
      <c r="Y25" s="105"/>
      <c r="Z25" s="178"/>
      <c r="AA25" s="105"/>
      <c r="AB25" s="104"/>
      <c r="AC25" s="105"/>
      <c r="AD25" s="98"/>
      <c r="AE25" s="106"/>
      <c r="AF25" s="4"/>
      <c r="AG25" s="4"/>
    </row>
    <row r="26" spans="2:33" ht="17" thickBot="1" x14ac:dyDescent="0.25">
      <c r="B26" s="1" t="str">
        <f>Legend!A26</f>
        <v>p</v>
      </c>
      <c r="C26" s="35" t="s">
        <v>15</v>
      </c>
      <c r="D26" s="114">
        <f>COUNTIFS(Data!$C:$C,"="&amp;B26,Data!$D:$D,"="&amp;ServeIn)</f>
        <v>0</v>
      </c>
      <c r="E26" s="115">
        <f>COUNTIFS(Data!$C:$C,"="&amp;B26,Data!$D:$D,"="&amp;ServeAce)</f>
        <v>0</v>
      </c>
      <c r="F26" s="116">
        <f>COUNTIFS(Data!$C:$C,"="&amp;B26,Data!$D:$D,"="&amp;ServeError)</f>
        <v>0</v>
      </c>
      <c r="G26" s="40">
        <f>SUM(D26:F26)</f>
        <v>0</v>
      </c>
      <c r="H26" s="117">
        <f>IF((F26+E26+D26)=0,0,(D26+E26)/(F26+E26+D26))</f>
        <v>0</v>
      </c>
      <c r="I26" s="85"/>
      <c r="J26" s="85"/>
      <c r="K26" s="86"/>
      <c r="L26" s="94"/>
      <c r="M26" s="85"/>
      <c r="N26" s="85"/>
      <c r="O26" s="85"/>
      <c r="P26" s="86"/>
      <c r="Q26" s="72">
        <f>COUNTIFS(Data!$C:$C,"="&amp;B26,Data!$D:$D,"="&amp;KillAttempt)</f>
        <v>0</v>
      </c>
      <c r="R26" s="73">
        <f>COUNTIFS(Data!$C:$C,"="&amp;B26,Data!$D:$D,"="&amp;KillSuccess)</f>
        <v>0</v>
      </c>
      <c r="S26" s="74">
        <f>COUNTIFS(Data!$C:$C,"="&amp;B26,Data!$D:$D,"="&amp;KillError)</f>
        <v>0</v>
      </c>
      <c r="T26" s="99"/>
      <c r="U26" s="94"/>
      <c r="V26" s="85"/>
      <c r="W26" s="85"/>
      <c r="X26" s="103"/>
      <c r="Y26" s="85"/>
      <c r="Z26" s="179"/>
      <c r="AA26" s="85"/>
      <c r="AB26" s="94"/>
      <c r="AC26" s="85"/>
      <c r="AD26" s="103"/>
      <c r="AE26" s="119">
        <f>COUNTIFS(Data!$C:$C,"="&amp;$B26,Data!$D:$D,"="&amp;GeneralError)</f>
        <v>0</v>
      </c>
      <c r="AF26" s="4"/>
      <c r="AG26" s="4"/>
    </row>
    <row r="27" spans="2:33" ht="17" thickBot="1" x14ac:dyDescent="0.25">
      <c r="B27" s="1"/>
      <c r="C27" s="1"/>
      <c r="D27" s="70"/>
      <c r="E27" s="70"/>
      <c r="F27" s="70"/>
      <c r="G27" s="71"/>
      <c r="H27" s="7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2:33" x14ac:dyDescent="0.2">
      <c r="C28" s="34" t="s">
        <v>105</v>
      </c>
      <c r="D28" s="304" t="s">
        <v>71</v>
      </c>
      <c r="E28" s="305"/>
      <c r="F28" s="305"/>
      <c r="G28" s="306"/>
      <c r="H28" s="307"/>
      <c r="I28" s="308" t="s">
        <v>64</v>
      </c>
      <c r="J28" s="308"/>
      <c r="K28" s="309"/>
      <c r="L28" s="310" t="s">
        <v>72</v>
      </c>
      <c r="M28" s="311"/>
      <c r="N28" s="311"/>
      <c r="O28" s="311"/>
      <c r="P28" s="312"/>
      <c r="Q28" s="313" t="s">
        <v>73</v>
      </c>
      <c r="R28" s="314"/>
      <c r="S28" s="314"/>
      <c r="T28" s="315"/>
      <c r="U28" s="316" t="s">
        <v>74</v>
      </c>
      <c r="V28" s="317"/>
      <c r="W28" s="317"/>
      <c r="X28" s="318"/>
      <c r="Y28" s="319" t="s">
        <v>75</v>
      </c>
      <c r="Z28" s="320"/>
      <c r="AA28" s="320"/>
      <c r="AB28" s="320"/>
      <c r="AC28" s="320"/>
      <c r="AD28" s="321"/>
      <c r="AE28" s="15" t="s">
        <v>76</v>
      </c>
    </row>
    <row r="29" spans="2:33" x14ac:dyDescent="0.2">
      <c r="B29" s="1" t="s">
        <v>77</v>
      </c>
      <c r="C29" s="12"/>
      <c r="D29" s="161" t="s">
        <v>22</v>
      </c>
      <c r="E29" s="162" t="s">
        <v>78</v>
      </c>
      <c r="F29" s="163" t="s">
        <v>79</v>
      </c>
      <c r="G29" s="164" t="s">
        <v>80</v>
      </c>
      <c r="H29" s="165" t="s">
        <v>81</v>
      </c>
      <c r="I29" s="181" t="s">
        <v>82</v>
      </c>
      <c r="J29" s="163" t="s">
        <v>83</v>
      </c>
      <c r="K29" s="182" t="s">
        <v>80</v>
      </c>
      <c r="L29" s="161">
        <v>3</v>
      </c>
      <c r="M29" s="162">
        <v>2</v>
      </c>
      <c r="N29" s="162">
        <v>1</v>
      </c>
      <c r="O29" s="163">
        <v>0</v>
      </c>
      <c r="P29" s="183" t="s">
        <v>84</v>
      </c>
      <c r="Q29" s="161" t="s">
        <v>85</v>
      </c>
      <c r="R29" s="162" t="s">
        <v>73</v>
      </c>
      <c r="S29" s="163" t="s">
        <v>79</v>
      </c>
      <c r="T29" s="212" t="s">
        <v>86</v>
      </c>
      <c r="U29" s="161" t="s">
        <v>32</v>
      </c>
      <c r="V29" s="162" t="s">
        <v>87</v>
      </c>
      <c r="W29" s="163" t="s">
        <v>79</v>
      </c>
      <c r="X29" s="167" t="s">
        <v>101</v>
      </c>
      <c r="Y29" s="161" t="s">
        <v>140</v>
      </c>
      <c r="Z29" s="163" t="s">
        <v>141</v>
      </c>
      <c r="AA29" s="184" t="s">
        <v>139</v>
      </c>
      <c r="AB29" s="161" t="s">
        <v>132</v>
      </c>
      <c r="AC29" s="163" t="s">
        <v>133</v>
      </c>
      <c r="AD29" s="185" t="s">
        <v>134</v>
      </c>
      <c r="AE29" s="186" t="s">
        <v>79</v>
      </c>
      <c r="AF29" s="4"/>
      <c r="AG29" s="4"/>
    </row>
    <row r="30" spans="2:33" x14ac:dyDescent="0.2">
      <c r="B30" t="str">
        <f>Legend!A11</f>
        <v>s</v>
      </c>
      <c r="C30" s="23" t="str">
        <f>Legend!B11&amp;" - "&amp;Legend!C11</f>
        <v>1 - Sam</v>
      </c>
      <c r="D30" s="13">
        <f>COUNTIFS(Data!$C:$C,"="&amp;B30,Data!$D:$D,"="&amp;ServeIn)</f>
        <v>0</v>
      </c>
      <c r="E30" s="5">
        <f>COUNTIFS(Data!$C:$C,"="&amp;B30,Data!$D:$D,"="&amp;ServeAce)</f>
        <v>0</v>
      </c>
      <c r="F30" s="7">
        <f>COUNTIFS(Data!$C:$C,"="&amp;B30,Data!$D:$D,"="&amp;ServeError)</f>
        <v>0</v>
      </c>
      <c r="G30" s="36">
        <f>SUM(D30:F30)</f>
        <v>0</v>
      </c>
      <c r="H30" s="37">
        <f t="shared" ref="H30:H39" si="3">IF((D30+E30+F30)=0,0,(D30+E30)/(D30+E30+F30))</f>
        <v>0</v>
      </c>
      <c r="I30" s="5">
        <f>COUNTIFS(Data!$C:$C,"="&amp;B30,Data!$D:$D,"="&amp;Dig)</f>
        <v>0</v>
      </c>
      <c r="J30" s="5">
        <f>COUNTIFS(Data!$C:$C,"="&amp;B30,Data!$D:$D,"="&amp;Cover)</f>
        <v>0</v>
      </c>
      <c r="K30" s="42">
        <f t="shared" ref="K30:K39" si="4">J30+I30</f>
        <v>0</v>
      </c>
      <c r="L30" s="13">
        <f>COUNTIFS(Data!$C:$C,"="&amp;B30,Data!$D:$D,"="&amp;Pass3)</f>
        <v>0</v>
      </c>
      <c r="M30" s="5">
        <f>COUNTIFS(Data!$C:$C,"="&amp;B30,Data!$D:$D,"="&amp;Pass2)</f>
        <v>0</v>
      </c>
      <c r="N30" s="5">
        <f>COUNTIFS(Data!$C:$C,"="&amp;B30,Data!$D:$D,"="&amp;Pass1)</f>
        <v>0</v>
      </c>
      <c r="O30" s="5">
        <f>COUNTIFS(Data!$C:$C,"="&amp;B30,Data!$D:$D,"="&amp;Pass0)</f>
        <v>0</v>
      </c>
      <c r="P30" s="45">
        <f>L30*3+M30*2+N30*1</f>
        <v>0</v>
      </c>
      <c r="Q30" s="13">
        <f>COUNTIFS(Data!$C:$C,"="&amp;$B30,Data!$D:$D,"="&amp;KillAttempt)</f>
        <v>0</v>
      </c>
      <c r="R30" s="5">
        <f>COUNTIFS(Data!$C:$C,"="&amp;$B30,Data!$D:$D,"="&amp;KillSuccess)</f>
        <v>0</v>
      </c>
      <c r="S30" s="7">
        <f>COUNTIFS(Data!$C:$C,"="&amp;$B30,Data!$D:$D,"="&amp;KillError)</f>
        <v>0</v>
      </c>
      <c r="T30" s="48">
        <f>IF((Q30+R30+S30)=0,0,(R30-S30)/(Q30+R30+S30))</f>
        <v>0</v>
      </c>
      <c r="U30" s="13">
        <f>COUNTIFS(Data!$C:$C,"="&amp;$B30,Data!$D:$D,"="&amp;AssistZero)</f>
        <v>0</v>
      </c>
      <c r="V30" s="5">
        <f>COUNTIFS(Data!$C:$C,"="&amp;$B30,Data!$D:$D,"="&amp;AssistSuccess)</f>
        <v>0</v>
      </c>
      <c r="W30" s="5">
        <f>COUNTIFS(Data!$C:$C,"="&amp;$B30,Data!$D:$D,"="&amp;AssistError)</f>
        <v>0</v>
      </c>
      <c r="X30" s="50">
        <f t="shared" ref="X30:X39" si="5">IF((U30+V30+W30)=0,0,(V30)/(U30+V30+W30))</f>
        <v>0</v>
      </c>
      <c r="Y30" s="13">
        <f>COUNTIFS(Data!$C:$C,"="&amp;$B30,Data!$D:$D,"="&amp;BlockHalf)</f>
        <v>0</v>
      </c>
      <c r="Z30" s="7">
        <f>COUNTIFS(Data!$C:$C,"="&amp;$B30,Data!$D:$D,"="&amp;BlockSolo)</f>
        <v>0</v>
      </c>
      <c r="AA30" s="213">
        <f t="shared" ref="AA30:AA39" si="6">Y30/2+Z30</f>
        <v>0</v>
      </c>
      <c r="AB30" s="13" cm="1">
        <f t="array" ref="AB30">COUNTIFS(Data!$C:$C,"="&amp;$B30,Data!$D:$D,"="&amp;BlockKillHalf)</f>
        <v>0</v>
      </c>
      <c r="AC30" s="5">
        <f>COUNTIFS(Data!$C:$C,"="&amp;$B30,Data!$D:$D,"="&amp;BlockKillSolo)</f>
        <v>0</v>
      </c>
      <c r="AD30" s="213">
        <f>AB30*0.5+AC30</f>
        <v>0</v>
      </c>
      <c r="AE30" s="19">
        <f>COUNTIFS(Data!$C:$C,"="&amp;$B30,Data!$D:$D,"="&amp;GeneralError)</f>
        <v>0</v>
      </c>
    </row>
    <row r="31" spans="2:33" x14ac:dyDescent="0.2">
      <c r="B31" t="str">
        <f>Legend!A12</f>
        <v>r</v>
      </c>
      <c r="C31" s="24" t="str">
        <f>Legend!B12&amp;" - "&amp;Legend!C12</f>
        <v>2 - Reece</v>
      </c>
      <c r="D31" s="14">
        <f>COUNTIFS(Data!$C:$C,"="&amp;B31,Data!$D:$D,"="&amp;ServeIn)</f>
        <v>0</v>
      </c>
      <c r="E31" s="3">
        <f>COUNTIFS(Data!$C:$C,"="&amp;B31,Data!$D:$D,"="&amp;ServeAce)</f>
        <v>0</v>
      </c>
      <c r="F31" s="8">
        <f>COUNTIFS(Data!$C:$C,"="&amp;B31,Data!$D:$D,"="&amp;ServeError)</f>
        <v>0</v>
      </c>
      <c r="G31" s="38">
        <f t="shared" ref="G31:G39" si="7">SUM(D31:F31)</f>
        <v>0</v>
      </c>
      <c r="H31" s="39">
        <f t="shared" si="3"/>
        <v>0</v>
      </c>
      <c r="I31" s="3">
        <f>COUNTIFS(Data!$C:$C,"="&amp;B31,Data!$D:$D,"="&amp;Dig)</f>
        <v>0</v>
      </c>
      <c r="J31" s="3">
        <f>COUNTIFS(Data!$C:$C,"="&amp;B31,Data!$D:$D,"="&amp;Cover)</f>
        <v>0</v>
      </c>
      <c r="K31" s="43">
        <f t="shared" si="4"/>
        <v>0</v>
      </c>
      <c r="L31" s="14">
        <f>COUNTIFS(Data!$C:$C,"="&amp;B31,Data!$D:$D,"="&amp;Pass3)</f>
        <v>0</v>
      </c>
      <c r="M31" s="3">
        <f>COUNTIFS(Data!$C:$C,"="&amp;B31,Data!$D:$D,"="&amp;Pass2)</f>
        <v>0</v>
      </c>
      <c r="N31" s="3">
        <f>COUNTIFS(Data!$C:$C,"="&amp;B31,Data!$D:$D,"="&amp;Pass1)</f>
        <v>0</v>
      </c>
      <c r="O31" s="3">
        <f>COUNTIFS(Data!$C:$C,"="&amp;B31,Data!$D:$D,"="&amp;Pass0)</f>
        <v>0</v>
      </c>
      <c r="P31" s="46">
        <f t="shared" ref="P31:P39" si="8">L31*3+M31*2+N31*1</f>
        <v>0</v>
      </c>
      <c r="Q31" s="14">
        <f>COUNTIFS(Data!$C:$C,"="&amp;$B31,Data!$D:$D,"="&amp;KillAttempt)</f>
        <v>0</v>
      </c>
      <c r="R31" s="3">
        <f>COUNTIFS(Data!$C:$C,"="&amp;$B31,Data!$D:$D,"="&amp;KillSuccess)</f>
        <v>0</v>
      </c>
      <c r="S31" s="8">
        <f>COUNTIFS(Data!$C:$C,"="&amp;$B31,Data!$D:$D,"="&amp;KillError)</f>
        <v>0</v>
      </c>
      <c r="T31" s="49">
        <f t="shared" ref="T31:T39" si="9">IF((Q31+R31+S31)=0,0,(R31-S31)/(Q31+R31+S31))</f>
        <v>0</v>
      </c>
      <c r="U31" s="14">
        <f>COUNTIFS(Data!$C:$C,"="&amp;$B31,Data!$D:$D,"="&amp;AssistZero)</f>
        <v>0</v>
      </c>
      <c r="V31" s="3">
        <f>COUNTIFS(Data!$C:$C,"="&amp;$B31,Data!$D:$D,"="&amp;AssistSuccess)</f>
        <v>0</v>
      </c>
      <c r="W31" s="3">
        <f>COUNTIFS(Data!$C:$C,"="&amp;$B31,Data!$D:$D,"="&amp;AssistError)</f>
        <v>0</v>
      </c>
      <c r="X31" s="50">
        <f t="shared" si="5"/>
        <v>0</v>
      </c>
      <c r="Y31" s="14">
        <f>COUNTIFS(Data!$C:$C,"="&amp;$B31,Data!$D:$D,"="&amp;BlockHalf)</f>
        <v>0</v>
      </c>
      <c r="Z31" s="8">
        <f>COUNTIFS(Data!$C:$C,"="&amp;$B31,Data!$D:$D,"="&amp;BlockSolo)</f>
        <v>0</v>
      </c>
      <c r="AA31" s="214">
        <f t="shared" si="6"/>
        <v>0</v>
      </c>
      <c r="AB31" s="14" cm="1">
        <f t="array" ref="AB31">COUNTIFS(Data!$C:$C,"="&amp;$B31,Data!$D:$D,"="&amp;BlockKillHalf)</f>
        <v>0</v>
      </c>
      <c r="AC31" s="3">
        <f>COUNTIFS(Data!$C:$C,"="&amp;$B31,Data!$D:$D,"="&amp;BlockKillSolo)</f>
        <v>0</v>
      </c>
      <c r="AD31" s="214">
        <f t="shared" ref="AD31:AD39" si="10">AB31*0.5+AC31</f>
        <v>0</v>
      </c>
      <c r="AE31" s="20">
        <f>COUNTIFS(Data!$C:$C,"="&amp;$B31,Data!$D:$D,"="&amp;GeneralError)</f>
        <v>0</v>
      </c>
    </row>
    <row r="32" spans="2:33" x14ac:dyDescent="0.2">
      <c r="B32" t="str">
        <f>Legend!A13</f>
        <v>c</v>
      </c>
      <c r="C32" s="24" t="str">
        <f>Legend!B13&amp;" - "&amp;Legend!C13</f>
        <v>3 - Cameron</v>
      </c>
      <c r="D32" s="14">
        <f>COUNTIFS(Data!$C:$C,"="&amp;B32,Data!$D:$D,"="&amp;ServeIn)</f>
        <v>0</v>
      </c>
      <c r="E32" s="3">
        <f>COUNTIFS(Data!$C:$C,"="&amp;B32,Data!$D:$D,"="&amp;ServeAce)</f>
        <v>0</v>
      </c>
      <c r="F32" s="8">
        <f>COUNTIFS(Data!$C:$C,"="&amp;B32,Data!$D:$D,"="&amp;ServeError)</f>
        <v>0</v>
      </c>
      <c r="G32" s="38">
        <f t="shared" si="7"/>
        <v>0</v>
      </c>
      <c r="H32" s="39">
        <f t="shared" si="3"/>
        <v>0</v>
      </c>
      <c r="I32" s="3">
        <f>COUNTIFS(Data!$C:$C,"="&amp;B32,Data!$D:$D,"="&amp;Dig)</f>
        <v>0</v>
      </c>
      <c r="J32" s="3">
        <f>COUNTIFS(Data!$C:$C,"="&amp;B32,Data!$D:$D,"="&amp;Cover)</f>
        <v>0</v>
      </c>
      <c r="K32" s="43">
        <f t="shared" si="4"/>
        <v>0</v>
      </c>
      <c r="L32" s="14">
        <f>COUNTIFS(Data!$C:$C,"="&amp;B32,Data!$D:$D,"="&amp;Pass3)</f>
        <v>0</v>
      </c>
      <c r="M32" s="3">
        <f>COUNTIFS(Data!$C:$C,"="&amp;B32,Data!$D:$D,"="&amp;Pass2)</f>
        <v>0</v>
      </c>
      <c r="N32" s="3">
        <f>COUNTIFS(Data!$C:$C,"="&amp;B32,Data!$D:$D,"="&amp;Pass1)</f>
        <v>0</v>
      </c>
      <c r="O32" s="3">
        <f>COUNTIFS(Data!$C:$C,"="&amp;B32,Data!$D:$D,"="&amp;Pass0)</f>
        <v>0</v>
      </c>
      <c r="P32" s="46">
        <f t="shared" si="8"/>
        <v>0</v>
      </c>
      <c r="Q32" s="14">
        <f>COUNTIFS(Data!$C:$C,"="&amp;$B32,Data!$D:$D,"="&amp;KillAttempt)</f>
        <v>0</v>
      </c>
      <c r="R32" s="3">
        <f>COUNTIFS(Data!$C:$C,"="&amp;$B32,Data!$D:$D,"="&amp;KillSuccess)</f>
        <v>0</v>
      </c>
      <c r="S32" s="8">
        <f>COUNTIFS(Data!$C:$C,"="&amp;$B32,Data!$D:$D,"="&amp;KillError)</f>
        <v>0</v>
      </c>
      <c r="T32" s="49">
        <f t="shared" si="9"/>
        <v>0</v>
      </c>
      <c r="U32" s="14">
        <f>COUNTIFS(Data!$C:$C,"="&amp;$B32,Data!$D:$D,"="&amp;AssistZero)</f>
        <v>0</v>
      </c>
      <c r="V32" s="3">
        <f>COUNTIFS(Data!$C:$C,"="&amp;$B32,Data!$D:$D,"="&amp;AssistSuccess)</f>
        <v>0</v>
      </c>
      <c r="W32" s="3">
        <f>COUNTIFS(Data!$C:$C,"="&amp;$B32,Data!$D:$D,"="&amp;AssistError)</f>
        <v>0</v>
      </c>
      <c r="X32" s="50">
        <f t="shared" si="5"/>
        <v>0</v>
      </c>
      <c r="Y32" s="14">
        <f>COUNTIFS(Data!$C:$C,"="&amp;$B32,Data!$D:$D,"="&amp;BlockHalf)</f>
        <v>0</v>
      </c>
      <c r="Z32" s="8">
        <f>COUNTIFS(Data!$C:$C,"="&amp;$B32,Data!$D:$D,"="&amp;BlockSolo)</f>
        <v>0</v>
      </c>
      <c r="AA32" s="214">
        <f t="shared" si="6"/>
        <v>0</v>
      </c>
      <c r="AB32" s="14" cm="1">
        <f t="array" ref="AB32">COUNTIFS(Data!$C:$C,"="&amp;$B32,Data!$D:$D,"="&amp;BlockKillHalf)</f>
        <v>0</v>
      </c>
      <c r="AC32" s="3">
        <f>COUNTIFS(Data!$C:$C,"="&amp;$B32,Data!$D:$D,"="&amp;BlockKillSolo)</f>
        <v>0</v>
      </c>
      <c r="AD32" s="214">
        <f t="shared" si="10"/>
        <v>0</v>
      </c>
      <c r="AE32" s="20">
        <f>COUNTIFS(Data!$C:$C,"="&amp;$B32,Data!$D:$D,"="&amp;GeneralError)</f>
        <v>0</v>
      </c>
    </row>
    <row r="33" spans="2:33" x14ac:dyDescent="0.2">
      <c r="B33" t="str">
        <f>Legend!A14</f>
        <v>l</v>
      </c>
      <c r="C33" s="24" t="str">
        <f>Legend!B14&amp;" - "&amp;Legend!C14</f>
        <v>5 - Levi</v>
      </c>
      <c r="D33" s="14">
        <f>COUNTIFS(Data!$C:$C,"="&amp;B33,Data!$D:$D,"="&amp;ServeIn)</f>
        <v>0</v>
      </c>
      <c r="E33" s="3">
        <f>COUNTIFS(Data!$C:$C,"="&amp;B33,Data!$D:$D,"="&amp;ServeAce)</f>
        <v>0</v>
      </c>
      <c r="F33" s="8">
        <f>COUNTIFS(Data!$C:$C,"="&amp;B33,Data!$D:$D,"="&amp;ServeError)</f>
        <v>0</v>
      </c>
      <c r="G33" s="38">
        <f t="shared" si="7"/>
        <v>0</v>
      </c>
      <c r="H33" s="39">
        <f t="shared" si="3"/>
        <v>0</v>
      </c>
      <c r="I33" s="3">
        <f>COUNTIFS(Data!$C:$C,"="&amp;B33,Data!$D:$D,"="&amp;Dig)</f>
        <v>0</v>
      </c>
      <c r="J33" s="3">
        <f>COUNTIFS(Data!$C:$C,"="&amp;B33,Data!$D:$D,"="&amp;Cover)</f>
        <v>0</v>
      </c>
      <c r="K33" s="43">
        <f t="shared" si="4"/>
        <v>0</v>
      </c>
      <c r="L33" s="14">
        <f>COUNTIFS(Data!$C:$C,"="&amp;B33,Data!$D:$D,"="&amp;Pass3)</f>
        <v>0</v>
      </c>
      <c r="M33" s="3">
        <f>COUNTIFS(Data!$C:$C,"="&amp;B33,Data!$D:$D,"="&amp;Pass2)</f>
        <v>0</v>
      </c>
      <c r="N33" s="3">
        <f>COUNTIFS(Data!$C:$C,"="&amp;B33,Data!$D:$D,"="&amp;Pass1)</f>
        <v>0</v>
      </c>
      <c r="O33" s="3">
        <f>COUNTIFS(Data!$C:$C,"="&amp;B33,Data!$D:$D,"="&amp;Pass0)</f>
        <v>0</v>
      </c>
      <c r="P33" s="46">
        <f t="shared" si="8"/>
        <v>0</v>
      </c>
      <c r="Q33" s="14">
        <f>COUNTIFS(Data!$C:$C,"="&amp;$B33,Data!$D:$D,"="&amp;KillAttempt)</f>
        <v>0</v>
      </c>
      <c r="R33" s="3">
        <f>COUNTIFS(Data!$C:$C,"="&amp;$B33,Data!$D:$D,"="&amp;KillSuccess)</f>
        <v>0</v>
      </c>
      <c r="S33" s="8">
        <f>COUNTIFS(Data!$C:$C,"="&amp;$B33,Data!$D:$D,"="&amp;KillError)</f>
        <v>0</v>
      </c>
      <c r="T33" s="49">
        <f t="shared" si="9"/>
        <v>0</v>
      </c>
      <c r="U33" s="14">
        <f>COUNTIFS(Data!$C:$C,"="&amp;$B33,Data!$D:$D,"="&amp;AssistZero)</f>
        <v>0</v>
      </c>
      <c r="V33" s="3">
        <f>COUNTIFS(Data!$C:$C,"="&amp;$B33,Data!$D:$D,"="&amp;AssistSuccess)</f>
        <v>0</v>
      </c>
      <c r="W33" s="3">
        <f>COUNTIFS(Data!$C:$C,"="&amp;$B33,Data!$D:$D,"="&amp;AssistError)</f>
        <v>0</v>
      </c>
      <c r="X33" s="50">
        <f t="shared" si="5"/>
        <v>0</v>
      </c>
      <c r="Y33" s="14">
        <f>COUNTIFS(Data!$C:$C,"="&amp;$B33,Data!$D:$D,"="&amp;BlockHalf)</f>
        <v>0</v>
      </c>
      <c r="Z33" s="8">
        <f>COUNTIFS(Data!$C:$C,"="&amp;$B33,Data!$D:$D,"="&amp;BlockSolo)</f>
        <v>0</v>
      </c>
      <c r="AA33" s="214">
        <f t="shared" si="6"/>
        <v>0</v>
      </c>
      <c r="AB33" s="14" cm="1">
        <f t="array" ref="AB33">COUNTIFS(Data!$C:$C,"="&amp;$B33,Data!$D:$D,"="&amp;BlockKillHalf)</f>
        <v>0</v>
      </c>
      <c r="AC33" s="3">
        <f>COUNTIFS(Data!$C:$C,"="&amp;$B33,Data!$D:$D,"="&amp;BlockKillSolo)</f>
        <v>0</v>
      </c>
      <c r="AD33" s="214">
        <f t="shared" si="10"/>
        <v>0</v>
      </c>
      <c r="AE33" s="20">
        <f>COUNTIFS(Data!$C:$C,"="&amp;$B33,Data!$D:$D,"="&amp;GeneralError)</f>
        <v>0</v>
      </c>
    </row>
    <row r="34" spans="2:33" x14ac:dyDescent="0.2">
      <c r="B34" t="str">
        <f>Legend!A15</f>
        <v>t</v>
      </c>
      <c r="C34" s="24" t="str">
        <f>Legend!B15&amp;" - "&amp;Legend!C15</f>
        <v>6 - Tom</v>
      </c>
      <c r="D34" s="14">
        <f>COUNTIFS(Data!$C:$C,"="&amp;B34,Data!$D:$D,"="&amp;ServeIn)</f>
        <v>0</v>
      </c>
      <c r="E34" s="3">
        <f>COUNTIFS(Data!$C:$C,"="&amp;B34,Data!$D:$D,"="&amp;ServeAce)</f>
        <v>0</v>
      </c>
      <c r="F34" s="8">
        <f>COUNTIFS(Data!$C:$C,"="&amp;B34,Data!$D:$D,"="&amp;ServeError)</f>
        <v>0</v>
      </c>
      <c r="G34" s="38">
        <f t="shared" si="7"/>
        <v>0</v>
      </c>
      <c r="H34" s="39">
        <f t="shared" si="3"/>
        <v>0</v>
      </c>
      <c r="I34" s="3">
        <f>COUNTIFS(Data!$C:$C,"="&amp;B34,Data!$D:$D,"="&amp;Dig)</f>
        <v>0</v>
      </c>
      <c r="J34" s="3">
        <f>COUNTIFS(Data!$C:$C,"="&amp;B34,Data!$D:$D,"="&amp;Cover)</f>
        <v>0</v>
      </c>
      <c r="K34" s="43">
        <f t="shared" si="4"/>
        <v>0</v>
      </c>
      <c r="L34" s="14">
        <f>COUNTIFS(Data!$C:$C,"="&amp;B34,Data!$D:$D,"="&amp;Pass3)</f>
        <v>0</v>
      </c>
      <c r="M34" s="3">
        <f>COUNTIFS(Data!$C:$C,"="&amp;B34,Data!$D:$D,"="&amp;Pass2)</f>
        <v>0</v>
      </c>
      <c r="N34" s="3">
        <f>COUNTIFS(Data!$C:$C,"="&amp;B34,Data!$D:$D,"="&amp;Pass1)</f>
        <v>0</v>
      </c>
      <c r="O34" s="3">
        <f>COUNTIFS(Data!$C:$C,"="&amp;B34,Data!$D:$D,"="&amp;Pass0)</f>
        <v>0</v>
      </c>
      <c r="P34" s="46">
        <f t="shared" si="8"/>
        <v>0</v>
      </c>
      <c r="Q34" s="14">
        <f>COUNTIFS(Data!$C:$C,"="&amp;$B34,Data!$D:$D,"="&amp;KillAttempt)</f>
        <v>0</v>
      </c>
      <c r="R34" s="3">
        <f>COUNTIFS(Data!$C:$C,"="&amp;$B34,Data!$D:$D,"="&amp;KillSuccess)</f>
        <v>0</v>
      </c>
      <c r="S34" s="8">
        <f>COUNTIFS(Data!$C:$C,"="&amp;$B34,Data!$D:$D,"="&amp;KillError)</f>
        <v>0</v>
      </c>
      <c r="T34" s="49">
        <f t="shared" si="9"/>
        <v>0</v>
      </c>
      <c r="U34" s="14">
        <f>COUNTIFS(Data!$C:$C,"="&amp;$B34,Data!$D:$D,"="&amp;AssistZero)</f>
        <v>0</v>
      </c>
      <c r="V34" s="3">
        <f>COUNTIFS(Data!$C:$C,"="&amp;$B34,Data!$D:$D,"="&amp;AssistSuccess)</f>
        <v>0</v>
      </c>
      <c r="W34" s="3">
        <f>COUNTIFS(Data!$C:$C,"="&amp;$B34,Data!$D:$D,"="&amp;AssistError)</f>
        <v>0</v>
      </c>
      <c r="X34" s="50">
        <f t="shared" si="5"/>
        <v>0</v>
      </c>
      <c r="Y34" s="14">
        <f>COUNTIFS(Data!$C:$C,"="&amp;$B34,Data!$D:$D,"="&amp;BlockHalf)</f>
        <v>0</v>
      </c>
      <c r="Z34" s="8">
        <f>COUNTIFS(Data!$C:$C,"="&amp;$B34,Data!$D:$D,"="&amp;BlockSolo)</f>
        <v>0</v>
      </c>
      <c r="AA34" s="214">
        <f t="shared" si="6"/>
        <v>0</v>
      </c>
      <c r="AB34" s="14" cm="1">
        <f t="array" ref="AB34">COUNTIFS(Data!$C:$C,"="&amp;$B34,Data!$D:$D,"="&amp;BlockKillHalf)</f>
        <v>0</v>
      </c>
      <c r="AC34" s="3">
        <f>COUNTIFS(Data!$C:$C,"="&amp;$B34,Data!$D:$D,"="&amp;BlockKillSolo)</f>
        <v>0</v>
      </c>
      <c r="AD34" s="214">
        <f t="shared" si="10"/>
        <v>0</v>
      </c>
      <c r="AE34" s="20">
        <f>COUNTIFS(Data!$C:$C,"="&amp;$B34,Data!$D:$D,"="&amp;GeneralError)</f>
        <v>0</v>
      </c>
    </row>
    <row r="35" spans="2:33" x14ac:dyDescent="0.2">
      <c r="B35" t="str">
        <f>Legend!A16</f>
        <v>z</v>
      </c>
      <c r="C35" s="24" t="str">
        <f>Legend!B16&amp;" - "&amp;Legend!C16</f>
        <v>7 - Zach</v>
      </c>
      <c r="D35" s="14">
        <f>COUNTIFS(Data!$C:$C,"="&amp;B35,Data!$D:$D,"="&amp;ServeIn)</f>
        <v>0</v>
      </c>
      <c r="E35" s="3">
        <f>COUNTIFS(Data!$C:$C,"="&amp;B35,Data!$D:$D,"="&amp;ServeAce)</f>
        <v>0</v>
      </c>
      <c r="F35" s="8">
        <f>COUNTIFS(Data!$C:$C,"="&amp;B35,Data!$D:$D,"="&amp;ServeError)</f>
        <v>0</v>
      </c>
      <c r="G35" s="38">
        <f t="shared" si="7"/>
        <v>0</v>
      </c>
      <c r="H35" s="39">
        <f t="shared" si="3"/>
        <v>0</v>
      </c>
      <c r="I35" s="3">
        <f>COUNTIFS(Data!$C:$C,"="&amp;B35,Data!$D:$D,"="&amp;Dig)</f>
        <v>0</v>
      </c>
      <c r="J35" s="3">
        <f>COUNTIFS(Data!$C:$C,"="&amp;B35,Data!$D:$D,"="&amp;Cover)</f>
        <v>0</v>
      </c>
      <c r="K35" s="43">
        <f t="shared" si="4"/>
        <v>0</v>
      </c>
      <c r="L35" s="14">
        <f>COUNTIFS(Data!$C:$C,"="&amp;B35,Data!$D:$D,"="&amp;Pass3)</f>
        <v>0</v>
      </c>
      <c r="M35" s="3">
        <f>COUNTIFS(Data!$C:$C,"="&amp;B35,Data!$D:$D,"="&amp;Pass2)</f>
        <v>0</v>
      </c>
      <c r="N35" s="3">
        <f>COUNTIFS(Data!$C:$C,"="&amp;B35,Data!$D:$D,"="&amp;Pass1)</f>
        <v>0</v>
      </c>
      <c r="O35" s="3">
        <f>COUNTIFS(Data!$C:$C,"="&amp;B35,Data!$D:$D,"="&amp;Pass0)</f>
        <v>0</v>
      </c>
      <c r="P35" s="46">
        <f t="shared" si="8"/>
        <v>0</v>
      </c>
      <c r="Q35" s="14">
        <f>COUNTIFS(Data!$C:$C,"="&amp;$B35,Data!$D:$D,"="&amp;KillAttempt)</f>
        <v>0</v>
      </c>
      <c r="R35" s="3">
        <f>COUNTIFS(Data!$C:$C,"="&amp;$B35,Data!$D:$D,"="&amp;KillSuccess)</f>
        <v>0</v>
      </c>
      <c r="S35" s="8">
        <f>COUNTIFS(Data!$C:$C,"="&amp;$B35,Data!$D:$D,"="&amp;KillError)</f>
        <v>0</v>
      </c>
      <c r="T35" s="49">
        <f t="shared" si="9"/>
        <v>0</v>
      </c>
      <c r="U35" s="14">
        <f>COUNTIFS(Data!$C:$C,"="&amp;$B35,Data!$D:$D,"="&amp;AssistZero)</f>
        <v>0</v>
      </c>
      <c r="V35" s="3">
        <f>COUNTIFS(Data!$C:$C,"="&amp;$B35,Data!$D:$D,"="&amp;AssistSuccess)</f>
        <v>0</v>
      </c>
      <c r="W35" s="3">
        <f>COUNTIFS(Data!$C:$C,"="&amp;$B35,Data!$D:$D,"="&amp;AssistError)</f>
        <v>0</v>
      </c>
      <c r="X35" s="50">
        <f t="shared" si="5"/>
        <v>0</v>
      </c>
      <c r="Y35" s="14">
        <f>COUNTIFS(Data!$C:$C,"="&amp;$B35,Data!$D:$D,"="&amp;BlockHalf)</f>
        <v>0</v>
      </c>
      <c r="Z35" s="8">
        <f>COUNTIFS(Data!$C:$C,"="&amp;$B35,Data!$D:$D,"="&amp;BlockSolo)</f>
        <v>0</v>
      </c>
      <c r="AA35" s="214">
        <f t="shared" si="6"/>
        <v>0</v>
      </c>
      <c r="AB35" s="14" cm="1">
        <f t="array" ref="AB35">COUNTIFS(Data!$C:$C,"="&amp;$B35,Data!$D:$D,"="&amp;BlockKillHalf)</f>
        <v>0</v>
      </c>
      <c r="AC35" s="3">
        <f>COUNTIFS(Data!$C:$C,"="&amp;$B35,Data!$D:$D,"="&amp;BlockKillSolo)</f>
        <v>0</v>
      </c>
      <c r="AD35" s="214">
        <f t="shared" si="10"/>
        <v>0</v>
      </c>
      <c r="AE35" s="20">
        <f>COUNTIFS(Data!$C:$C,"="&amp;$B35,Data!$D:$D,"="&amp;GeneralError)</f>
        <v>0</v>
      </c>
    </row>
    <row r="36" spans="2:33" x14ac:dyDescent="0.2">
      <c r="B36" t="str">
        <f>Legend!A17</f>
        <v>b</v>
      </c>
      <c r="C36" s="24" t="str">
        <f>Legend!B17&amp;" - "&amp;Legend!C17</f>
        <v>11 - Bodhi</v>
      </c>
      <c r="D36" s="14">
        <f>COUNTIFS(Data!$C:$C,"="&amp;B36,Data!$D:$D,"="&amp;ServeIn)</f>
        <v>0</v>
      </c>
      <c r="E36" s="3">
        <f>COUNTIFS(Data!$C:$C,"="&amp;B36,Data!$D:$D,"="&amp;ServeAce)</f>
        <v>0</v>
      </c>
      <c r="F36" s="8">
        <f>COUNTIFS(Data!$C:$C,"="&amp;B36,Data!$D:$D,"="&amp;ServeError)</f>
        <v>0</v>
      </c>
      <c r="G36" s="38">
        <f t="shared" si="7"/>
        <v>0</v>
      </c>
      <c r="H36" s="39">
        <f t="shared" si="3"/>
        <v>0</v>
      </c>
      <c r="I36" s="3">
        <f>COUNTIFS(Data!$C:$C,"="&amp;B36,Data!$D:$D,"="&amp;Dig)</f>
        <v>0</v>
      </c>
      <c r="J36" s="3">
        <f>COUNTIFS(Data!$C:$C,"="&amp;B36,Data!$D:$D,"="&amp;Cover)</f>
        <v>0</v>
      </c>
      <c r="K36" s="43">
        <f t="shared" si="4"/>
        <v>0</v>
      </c>
      <c r="L36" s="14">
        <f>COUNTIFS(Data!$C:$C,"="&amp;B36,Data!$D:$D,"="&amp;Pass3)</f>
        <v>0</v>
      </c>
      <c r="M36" s="3">
        <f>COUNTIFS(Data!$C:$C,"="&amp;B36,Data!$D:$D,"="&amp;Pass2)</f>
        <v>0</v>
      </c>
      <c r="N36" s="3">
        <f>COUNTIFS(Data!$C:$C,"="&amp;B36,Data!$D:$D,"="&amp;Pass1)</f>
        <v>0</v>
      </c>
      <c r="O36" s="3">
        <f>COUNTIFS(Data!$C:$C,"="&amp;B36,Data!$D:$D,"="&amp;Pass0)</f>
        <v>0</v>
      </c>
      <c r="P36" s="46">
        <f t="shared" si="8"/>
        <v>0</v>
      </c>
      <c r="Q36" s="14">
        <f>COUNTIFS(Data!$C:$C,"="&amp;$B36,Data!$D:$D,"="&amp;KillAttempt)</f>
        <v>0</v>
      </c>
      <c r="R36" s="3">
        <f>COUNTIFS(Data!$C:$C,"="&amp;$B36,Data!$D:$D,"="&amp;KillSuccess)</f>
        <v>0</v>
      </c>
      <c r="S36" s="8">
        <f>COUNTIFS(Data!$C:$C,"="&amp;$B36,Data!$D:$D,"="&amp;KillError)</f>
        <v>0</v>
      </c>
      <c r="T36" s="49">
        <f t="shared" si="9"/>
        <v>0</v>
      </c>
      <c r="U36" s="14">
        <f>COUNTIFS(Data!$C:$C,"="&amp;$B36,Data!$D:$D,"="&amp;AssistZero)</f>
        <v>0</v>
      </c>
      <c r="V36" s="3">
        <f>COUNTIFS(Data!$C:$C,"="&amp;$B36,Data!$D:$D,"="&amp;AssistSuccess)</f>
        <v>0</v>
      </c>
      <c r="W36" s="3">
        <f>COUNTIFS(Data!$C:$C,"="&amp;$B36,Data!$D:$D,"="&amp;AssistError)</f>
        <v>0</v>
      </c>
      <c r="X36" s="50">
        <f t="shared" si="5"/>
        <v>0</v>
      </c>
      <c r="Y36" s="14">
        <f>COUNTIFS(Data!$C:$C,"="&amp;$B36,Data!$D:$D,"="&amp;BlockHalf)</f>
        <v>0</v>
      </c>
      <c r="Z36" s="8">
        <f>COUNTIFS(Data!$C:$C,"="&amp;$B36,Data!$D:$D,"="&amp;BlockSolo)</f>
        <v>0</v>
      </c>
      <c r="AA36" s="214">
        <f t="shared" si="6"/>
        <v>0</v>
      </c>
      <c r="AB36" s="14" cm="1">
        <f t="array" ref="AB36">COUNTIFS(Data!$C:$C,"="&amp;$B36,Data!$D:$D,"="&amp;BlockKillHalf)</f>
        <v>0</v>
      </c>
      <c r="AC36" s="3">
        <f>COUNTIFS(Data!$C:$C,"="&amp;$B36,Data!$D:$D,"="&amp;BlockKillSolo)</f>
        <v>0</v>
      </c>
      <c r="AD36" s="214">
        <f t="shared" si="10"/>
        <v>0</v>
      </c>
      <c r="AE36" s="20">
        <f>COUNTIFS(Data!$C:$C,"="&amp;$B36,Data!$D:$D,"="&amp;GeneralError)</f>
        <v>0</v>
      </c>
    </row>
    <row r="37" spans="2:33" x14ac:dyDescent="0.2">
      <c r="B37" t="str">
        <f>Legend!A18</f>
        <v>k</v>
      </c>
      <c r="C37" s="24" t="str">
        <f>Legend!B18&amp;" - "&amp;Legend!C18</f>
        <v>12 - Kaito</v>
      </c>
      <c r="D37" s="14">
        <f>COUNTIFS(Data!$C:$C,"="&amp;B37,Data!$D:$D,"="&amp;ServeIn)</f>
        <v>0</v>
      </c>
      <c r="E37" s="3">
        <f>COUNTIFS(Data!$C:$C,"="&amp;B37,Data!$D:$D,"="&amp;ServeAce)</f>
        <v>0</v>
      </c>
      <c r="F37" s="8">
        <f>COUNTIFS(Data!$C:$C,"="&amp;B37,Data!$D:$D,"="&amp;ServeError)</f>
        <v>0</v>
      </c>
      <c r="G37" s="38">
        <f t="shared" si="7"/>
        <v>0</v>
      </c>
      <c r="H37" s="39">
        <f t="shared" si="3"/>
        <v>0</v>
      </c>
      <c r="I37" s="3">
        <f>COUNTIFS(Data!$C:$C,"="&amp;B37,Data!$D:$D,"="&amp;Dig)</f>
        <v>0</v>
      </c>
      <c r="J37" s="3">
        <f>COUNTIFS(Data!$C:$C,"="&amp;B37,Data!$D:$D,"="&amp;Cover)</f>
        <v>0</v>
      </c>
      <c r="K37" s="43">
        <f t="shared" si="4"/>
        <v>0</v>
      </c>
      <c r="L37" s="14">
        <f>COUNTIFS(Data!$C:$C,"="&amp;B37,Data!$D:$D,"="&amp;Pass3)</f>
        <v>0</v>
      </c>
      <c r="M37" s="3">
        <f>COUNTIFS(Data!$C:$C,"="&amp;B37,Data!$D:$D,"="&amp;Pass2)</f>
        <v>0</v>
      </c>
      <c r="N37" s="3">
        <f>COUNTIFS(Data!$C:$C,"="&amp;B37,Data!$D:$D,"="&amp;Pass1)</f>
        <v>0</v>
      </c>
      <c r="O37" s="3">
        <f>COUNTIFS(Data!$C:$C,"="&amp;B37,Data!$D:$D,"="&amp;Pass0)</f>
        <v>0</v>
      </c>
      <c r="P37" s="46">
        <f t="shared" si="8"/>
        <v>0</v>
      </c>
      <c r="Q37" s="14">
        <f>COUNTIFS(Data!$C:$C,"="&amp;$B37,Data!$D:$D,"="&amp;KillAttempt)</f>
        <v>0</v>
      </c>
      <c r="R37" s="3">
        <f>COUNTIFS(Data!$C:$C,"="&amp;$B37,Data!$D:$D,"="&amp;KillSuccess)</f>
        <v>0</v>
      </c>
      <c r="S37" s="8">
        <f>COUNTIFS(Data!$C:$C,"="&amp;$B37,Data!$D:$D,"="&amp;KillError)</f>
        <v>0</v>
      </c>
      <c r="T37" s="49">
        <f t="shared" si="9"/>
        <v>0</v>
      </c>
      <c r="U37" s="14">
        <f>COUNTIFS(Data!$C:$C,"="&amp;$B37,Data!$D:$D,"="&amp;AssistZero)</f>
        <v>0</v>
      </c>
      <c r="V37" s="3">
        <f>COUNTIFS(Data!$C:$C,"="&amp;$B37,Data!$D:$D,"="&amp;AssistSuccess)</f>
        <v>0</v>
      </c>
      <c r="W37" s="3">
        <f>COUNTIFS(Data!$C:$C,"="&amp;$B37,Data!$D:$D,"="&amp;AssistError)</f>
        <v>0</v>
      </c>
      <c r="X37" s="50">
        <f t="shared" si="5"/>
        <v>0</v>
      </c>
      <c r="Y37" s="14">
        <f>COUNTIFS(Data!$C:$C,"="&amp;$B37,Data!$D:$D,"="&amp;BlockHalf)</f>
        <v>0</v>
      </c>
      <c r="Z37" s="8">
        <f>COUNTIFS(Data!$C:$C,"="&amp;$B37,Data!$D:$D,"="&amp;BlockSolo)</f>
        <v>0</v>
      </c>
      <c r="AA37" s="214">
        <f t="shared" si="6"/>
        <v>0</v>
      </c>
      <c r="AB37" s="14" cm="1">
        <f t="array" ref="AB37">COUNTIFS(Data!$C:$C,"="&amp;$B37,Data!$D:$D,"="&amp;BlockKillHalf)</f>
        <v>0</v>
      </c>
      <c r="AC37" s="3">
        <f>COUNTIFS(Data!$C:$C,"="&amp;$B37,Data!$D:$D,"="&amp;BlockKillSolo)</f>
        <v>0</v>
      </c>
      <c r="AD37" s="214">
        <f t="shared" si="10"/>
        <v>0</v>
      </c>
      <c r="AE37" s="20">
        <f>COUNTIFS(Data!$C:$C,"="&amp;$B37,Data!$D:$D,"="&amp;GeneralError)</f>
        <v>0</v>
      </c>
      <c r="AG37" t="s">
        <v>150</v>
      </c>
    </row>
    <row r="38" spans="2:33" x14ac:dyDescent="0.2">
      <c r="B38" t="str">
        <f>Legend!A19</f>
        <v>h</v>
      </c>
      <c r="C38" s="24" t="str">
        <f>Legend!B19&amp;" - "&amp;Legend!C19</f>
        <v>13 - Hayden</v>
      </c>
      <c r="D38" s="14">
        <f>COUNTIFS(Data!$C:$C,"="&amp;B38,Data!$D:$D,"="&amp;ServeIn)</f>
        <v>0</v>
      </c>
      <c r="E38" s="3">
        <f>COUNTIFS(Data!$C:$C,"="&amp;B38,Data!$D:$D,"="&amp;ServeAce)</f>
        <v>0</v>
      </c>
      <c r="F38" s="8">
        <f>COUNTIFS(Data!$C:$C,"="&amp;B38,Data!$D:$D,"="&amp;ServeError)</f>
        <v>0</v>
      </c>
      <c r="G38" s="38">
        <f t="shared" si="7"/>
        <v>0</v>
      </c>
      <c r="H38" s="39">
        <f t="shared" si="3"/>
        <v>0</v>
      </c>
      <c r="I38" s="3">
        <f>COUNTIFS(Data!$C:$C,"="&amp;B38,Data!$D:$D,"="&amp;Dig)</f>
        <v>0</v>
      </c>
      <c r="J38" s="3">
        <f>COUNTIFS(Data!$C:$C,"="&amp;B38,Data!$D:$D,"="&amp;Cover)</f>
        <v>0</v>
      </c>
      <c r="K38" s="43">
        <f t="shared" si="4"/>
        <v>0</v>
      </c>
      <c r="L38" s="14">
        <f>COUNTIFS(Data!$C:$C,"="&amp;B38,Data!$D:$D,"="&amp;Pass3)</f>
        <v>0</v>
      </c>
      <c r="M38" s="3">
        <f>COUNTIFS(Data!$C:$C,"="&amp;B38,Data!$D:$D,"="&amp;Pass2)</f>
        <v>0</v>
      </c>
      <c r="N38" s="3">
        <f>COUNTIFS(Data!$C:$C,"="&amp;B38,Data!$D:$D,"="&amp;Pass1)</f>
        <v>0</v>
      </c>
      <c r="O38" s="3">
        <f>COUNTIFS(Data!$C:$C,"="&amp;B38,Data!$D:$D,"="&amp;Pass0)</f>
        <v>0</v>
      </c>
      <c r="P38" s="46">
        <f t="shared" si="8"/>
        <v>0</v>
      </c>
      <c r="Q38" s="14">
        <f>COUNTIFS(Data!$C:$C,"="&amp;$B38,Data!$D:$D,"="&amp;KillAttempt)</f>
        <v>0</v>
      </c>
      <c r="R38" s="3">
        <f>COUNTIFS(Data!$C:$C,"="&amp;$B38,Data!$D:$D,"="&amp;KillSuccess)</f>
        <v>0</v>
      </c>
      <c r="S38" s="8">
        <f>COUNTIFS(Data!$C:$C,"="&amp;$B38,Data!$D:$D,"="&amp;KillError)</f>
        <v>0</v>
      </c>
      <c r="T38" s="49">
        <f t="shared" si="9"/>
        <v>0</v>
      </c>
      <c r="U38" s="14">
        <f>COUNTIFS(Data!$C:$C,"="&amp;$B38,Data!$D:$D,"="&amp;AssistZero)</f>
        <v>0</v>
      </c>
      <c r="V38" s="3">
        <f>COUNTIFS(Data!$C:$C,"="&amp;$B38,Data!$D:$D,"="&amp;AssistSuccess)</f>
        <v>0</v>
      </c>
      <c r="W38" s="3">
        <f>COUNTIFS(Data!$C:$C,"="&amp;$B38,Data!$D:$D,"="&amp;AssistError)</f>
        <v>0</v>
      </c>
      <c r="X38" s="50">
        <f t="shared" si="5"/>
        <v>0</v>
      </c>
      <c r="Y38" s="14">
        <f>COUNTIFS(Data!$C:$C,"="&amp;$B38,Data!$D:$D,"="&amp;BlockHalf)</f>
        <v>0</v>
      </c>
      <c r="Z38" s="8">
        <f>COUNTIFS(Data!$C:$C,"="&amp;$B38,Data!$D:$D,"="&amp;BlockSolo)</f>
        <v>0</v>
      </c>
      <c r="AA38" s="214">
        <f t="shared" si="6"/>
        <v>0</v>
      </c>
      <c r="AB38" s="14" cm="1">
        <f t="array" ref="AB38">COUNTIFS(Data!$C:$C,"="&amp;$B38,Data!$D:$D,"="&amp;BlockKillHalf)</f>
        <v>0</v>
      </c>
      <c r="AC38" s="3">
        <f>COUNTIFS(Data!$C:$C,"="&amp;$B38,Data!$D:$D,"="&amp;BlockKillSolo)</f>
        <v>0</v>
      </c>
      <c r="AD38" s="214">
        <f t="shared" si="10"/>
        <v>0</v>
      </c>
      <c r="AE38" s="20">
        <f>COUNTIFS(Data!$C:$C,"="&amp;$B38,Data!$D:$D,"="&amp;GeneralError)</f>
        <v>0</v>
      </c>
    </row>
    <row r="39" spans="2:33" x14ac:dyDescent="0.2">
      <c r="B39" t="str">
        <f>Legend!A20</f>
        <v>j</v>
      </c>
      <c r="C39" s="25" t="str">
        <f>Legend!B20&amp;" - "&amp;Legend!C20</f>
        <v>23 - Jayden</v>
      </c>
      <c r="D39" s="18">
        <f>COUNTIFS(Data!$C:$C,"="&amp;B39,Data!$D:$D,"="&amp;ServeIn)</f>
        <v>0</v>
      </c>
      <c r="E39" s="6">
        <f>COUNTIFS(Data!$C:$C,"="&amp;B39,Data!$D:$D,"="&amp;ServeAce)</f>
        <v>0</v>
      </c>
      <c r="F39" s="9">
        <f>COUNTIFS(Data!$C:$C,"="&amp;B39,Data!$D:$D,"="&amp;ServeError)</f>
        <v>0</v>
      </c>
      <c r="G39" s="38">
        <f t="shared" si="7"/>
        <v>0</v>
      </c>
      <c r="H39" s="39">
        <f t="shared" si="3"/>
        <v>0</v>
      </c>
      <c r="I39" s="3">
        <f>COUNTIFS(Data!$C:$C,"="&amp;B39,Data!$D:$D,"="&amp;Dig)</f>
        <v>0</v>
      </c>
      <c r="J39" s="3">
        <f>COUNTIFS(Data!$C:$C,"="&amp;B39,Data!$D:$D,"="&amp;Cover)</f>
        <v>0</v>
      </c>
      <c r="K39" s="43">
        <f t="shared" si="4"/>
        <v>0</v>
      </c>
      <c r="L39" s="14">
        <f>COUNTIFS(Data!$C:$C,"="&amp;B39,Data!$D:$D,"="&amp;Pass3)</f>
        <v>0</v>
      </c>
      <c r="M39" s="3">
        <f>COUNTIFS(Data!$C:$C,"="&amp;B39,Data!$D:$D,"="&amp;Pass2)</f>
        <v>0</v>
      </c>
      <c r="N39" s="3">
        <f>COUNTIFS(Data!$C:$C,"="&amp;B39,Data!$D:$D,"="&amp;Pass1)</f>
        <v>0</v>
      </c>
      <c r="O39" s="3">
        <f>COUNTIFS(Data!$C:$C,"="&amp;B39,Data!$D:$D,"="&amp;Pass0)</f>
        <v>0</v>
      </c>
      <c r="P39" s="46">
        <f t="shared" si="8"/>
        <v>0</v>
      </c>
      <c r="Q39" s="14">
        <f>COUNTIFS(Data!$C:$C,"="&amp;$B39,Data!$D:$D,"="&amp;KillAttempt)</f>
        <v>0</v>
      </c>
      <c r="R39" s="3">
        <f>COUNTIFS(Data!$C:$C,"="&amp;$B39,Data!$D:$D,"="&amp;KillSuccess)</f>
        <v>0</v>
      </c>
      <c r="S39" s="8">
        <f>COUNTIFS(Data!$C:$C,"="&amp;$B39,Data!$D:$D,"="&amp;KillError)</f>
        <v>0</v>
      </c>
      <c r="T39" s="49">
        <f t="shared" si="9"/>
        <v>0</v>
      </c>
      <c r="U39" s="14">
        <f>COUNTIFS(Data!$C:$C,"="&amp;$B39,Data!$D:$D,"="&amp;AssistZero)</f>
        <v>0</v>
      </c>
      <c r="V39" s="3">
        <f>COUNTIFS(Data!$C:$C,"="&amp;$B39,Data!$D:$D,"="&amp;AssistSuccess)</f>
        <v>0</v>
      </c>
      <c r="W39" s="3">
        <f>COUNTIFS(Data!$C:$C,"="&amp;$B39,Data!$D:$D,"="&amp;AssistError)</f>
        <v>0</v>
      </c>
      <c r="X39" s="50">
        <f t="shared" si="5"/>
        <v>0</v>
      </c>
      <c r="Y39" s="18">
        <f>COUNTIFS(Data!$C:$C,"="&amp;$B39,Data!$D:$D,"="&amp;BlockHalf)</f>
        <v>0</v>
      </c>
      <c r="Z39" s="9">
        <f>COUNTIFS(Data!$C:$C,"="&amp;$B39,Data!$D:$D,"="&amp;BlockSolo)</f>
        <v>0</v>
      </c>
      <c r="AA39" s="214">
        <f t="shared" si="6"/>
        <v>0</v>
      </c>
      <c r="AB39" s="14" cm="1">
        <f t="array" ref="AB39">COUNTIFS(Data!$C:$C,"="&amp;$B39,Data!$D:$D,"="&amp;BlockKillHalf)</f>
        <v>0</v>
      </c>
      <c r="AC39" s="3">
        <f>COUNTIFS(Data!$C:$C,"="&amp;$B39,Data!$D:$D,"="&amp;BlockKillSolo)</f>
        <v>0</v>
      </c>
      <c r="AD39" s="214">
        <f t="shared" si="10"/>
        <v>0</v>
      </c>
      <c r="AE39" s="20">
        <f>COUNTIFS(Data!$C:$C,"="&amp;$B39,Data!$D:$D,"="&amp;GeneralError)</f>
        <v>0</v>
      </c>
    </row>
    <row r="40" spans="2:33" ht="17" thickBot="1" x14ac:dyDescent="0.25">
      <c r="B40" t="str">
        <f>Legend!A25</f>
        <v>tt</v>
      </c>
      <c r="C40" s="75" t="str">
        <f>Legend!C25</f>
        <v>Team</v>
      </c>
      <c r="D40" s="76"/>
      <c r="E40" s="77"/>
      <c r="F40" s="77"/>
      <c r="G40" s="78"/>
      <c r="H40" s="79"/>
      <c r="I40" s="77"/>
      <c r="J40" s="77"/>
      <c r="K40" s="80"/>
      <c r="L40" s="76"/>
      <c r="M40" s="77"/>
      <c r="N40" s="77"/>
      <c r="O40" s="77"/>
      <c r="P40" s="81"/>
      <c r="Q40" s="76"/>
      <c r="R40" s="77"/>
      <c r="S40" s="82"/>
      <c r="T40" s="83"/>
      <c r="U40" s="76"/>
      <c r="V40" s="77"/>
      <c r="W40" s="77"/>
      <c r="X40" s="80"/>
      <c r="Y40" s="77"/>
      <c r="Z40" s="77"/>
      <c r="AA40" s="77"/>
      <c r="AB40" s="76"/>
      <c r="AC40" s="77"/>
      <c r="AD40" s="80"/>
      <c r="AE40" s="84">
        <f>COUNTIFS(Data!$C:$C,"="&amp;$B40,Data!$D:$D,"="&amp;GeneralError)</f>
        <v>0</v>
      </c>
    </row>
    <row r="42" spans="2:33" ht="15.75" customHeight="1" x14ac:dyDescent="0.2">
      <c r="D42" s="298" t="s">
        <v>89</v>
      </c>
      <c r="E42" s="298"/>
      <c r="F42" s="298"/>
      <c r="G42" s="298"/>
      <c r="H42" s="298"/>
      <c r="I42" s="298"/>
      <c r="J42" s="298"/>
      <c r="K42" s="298"/>
      <c r="L42" s="303" t="s">
        <v>90</v>
      </c>
      <c r="M42" s="303"/>
      <c r="N42" s="303"/>
      <c r="O42" s="303"/>
      <c r="P42" s="303"/>
      <c r="Q42" s="302" t="s">
        <v>91</v>
      </c>
      <c r="R42" s="300" t="s">
        <v>92</v>
      </c>
      <c r="S42" s="300"/>
      <c r="T42" s="300"/>
      <c r="U42" s="57" t="s">
        <v>93</v>
      </c>
      <c r="V42" s="57"/>
      <c r="W42" s="57"/>
      <c r="X42" s="57"/>
      <c r="Y42" s="322" t="s">
        <v>145</v>
      </c>
      <c r="Z42" s="322"/>
      <c r="AA42" s="322"/>
      <c r="AB42" s="322"/>
      <c r="AC42" s="322"/>
      <c r="AD42" s="322"/>
    </row>
    <row r="43" spans="2:33" x14ac:dyDescent="0.2">
      <c r="D43" s="298"/>
      <c r="E43" s="298"/>
      <c r="F43" s="298"/>
      <c r="G43" s="298"/>
      <c r="H43" s="298"/>
      <c r="I43" s="298"/>
      <c r="J43" s="298"/>
      <c r="K43" s="298"/>
      <c r="L43" s="59" t="s">
        <v>94</v>
      </c>
      <c r="M43" s="58"/>
      <c r="N43" s="58"/>
      <c r="O43" s="58"/>
      <c r="P43" s="58"/>
      <c r="Q43" s="302"/>
      <c r="R43" s="301" t="s">
        <v>95</v>
      </c>
      <c r="S43" s="301"/>
      <c r="T43" s="301"/>
      <c r="U43" s="57" t="s">
        <v>96</v>
      </c>
      <c r="V43" s="57"/>
      <c r="W43" s="57"/>
      <c r="X43" s="57"/>
      <c r="Y43" s="322" t="s">
        <v>144</v>
      </c>
      <c r="Z43" s="322"/>
      <c r="AA43" s="322"/>
      <c r="AB43" s="322"/>
      <c r="AC43" s="322"/>
      <c r="AD43" s="322"/>
    </row>
    <row r="44" spans="2:33" x14ac:dyDescent="0.2">
      <c r="D44" s="53" t="s">
        <v>97</v>
      </c>
      <c r="E44" s="54"/>
      <c r="F44" s="55"/>
      <c r="G44" s="55"/>
      <c r="H44" s="55"/>
      <c r="I44" s="55"/>
      <c r="J44" s="55"/>
      <c r="K44" s="55"/>
      <c r="L44" s="58" t="s">
        <v>98</v>
      </c>
      <c r="M44" s="58"/>
      <c r="N44" s="58"/>
      <c r="O44" s="58"/>
      <c r="P44" s="58"/>
      <c r="U44" s="299" t="s">
        <v>99</v>
      </c>
      <c r="V44" s="299"/>
      <c r="W44" s="299"/>
      <c r="X44" s="299"/>
      <c r="Y44" s="323" t="s">
        <v>146</v>
      </c>
      <c r="Z44" s="323"/>
      <c r="AA44" s="323"/>
      <c r="AB44" s="323"/>
      <c r="AC44" s="323"/>
      <c r="AD44" s="323"/>
    </row>
    <row r="45" spans="2:33" x14ac:dyDescent="0.2">
      <c r="L45" s="58" t="s">
        <v>100</v>
      </c>
      <c r="M45" s="58"/>
      <c r="N45" s="58"/>
      <c r="O45" s="58"/>
      <c r="P45" s="58"/>
      <c r="U45" s="299"/>
      <c r="V45" s="299"/>
      <c r="W45" s="299"/>
      <c r="X45" s="299"/>
      <c r="Y45" s="323"/>
      <c r="Z45" s="323"/>
      <c r="AA45" s="323"/>
      <c r="AB45" s="323"/>
      <c r="AC45" s="323"/>
      <c r="AD45" s="323"/>
    </row>
    <row r="46" spans="2:33" ht="16" customHeight="1" x14ac:dyDescent="0.2">
      <c r="U46" s="294" t="s">
        <v>102</v>
      </c>
      <c r="V46" s="295" t="s">
        <v>87</v>
      </c>
      <c r="W46" s="295"/>
      <c r="X46" s="295"/>
      <c r="Y46" s="297"/>
      <c r="Z46" s="297"/>
      <c r="AA46" s="297"/>
      <c r="AB46" s="297"/>
      <c r="AC46" s="297"/>
      <c r="AD46" s="297"/>
    </row>
    <row r="47" spans="2:33" x14ac:dyDescent="0.2">
      <c r="U47" s="294"/>
      <c r="V47" s="296" t="s">
        <v>103</v>
      </c>
      <c r="W47" s="296"/>
      <c r="X47" s="296"/>
      <c r="Y47" s="3"/>
      <c r="Z47" s="3"/>
      <c r="AA47" s="3"/>
    </row>
    <row r="49" spans="4:6" x14ac:dyDescent="0.2">
      <c r="D49"/>
      <c r="E49"/>
      <c r="F49"/>
    </row>
    <row r="50" spans="4:6" x14ac:dyDescent="0.2">
      <c r="D50"/>
      <c r="E50"/>
      <c r="F50"/>
    </row>
    <row r="51" spans="4:6" x14ac:dyDescent="0.2">
      <c r="D51"/>
      <c r="E51"/>
      <c r="F51"/>
    </row>
    <row r="52" spans="4:6" x14ac:dyDescent="0.2">
      <c r="D52"/>
      <c r="E52"/>
      <c r="F52"/>
    </row>
    <row r="53" spans="4:6" x14ac:dyDescent="0.2">
      <c r="D53"/>
      <c r="E53"/>
      <c r="F53"/>
    </row>
    <row r="54" spans="4:6" x14ac:dyDescent="0.2">
      <c r="D54"/>
      <c r="E54"/>
      <c r="F54"/>
    </row>
    <row r="55" spans="4:6" x14ac:dyDescent="0.2">
      <c r="D55"/>
      <c r="E55"/>
      <c r="F55"/>
    </row>
    <row r="56" spans="4:6" x14ac:dyDescent="0.2">
      <c r="D56"/>
      <c r="E56"/>
      <c r="F56"/>
    </row>
    <row r="57" spans="4:6" x14ac:dyDescent="0.2">
      <c r="D57"/>
      <c r="E57"/>
      <c r="F57"/>
    </row>
    <row r="58" spans="4:6" x14ac:dyDescent="0.2">
      <c r="D58"/>
      <c r="E58"/>
      <c r="F58"/>
    </row>
    <row r="59" spans="4:6" x14ac:dyDescent="0.2">
      <c r="D59"/>
      <c r="E59"/>
      <c r="F59"/>
    </row>
    <row r="62" spans="4:6" x14ac:dyDescent="0.2">
      <c r="D62"/>
      <c r="E62"/>
      <c r="F62"/>
    </row>
  </sheetData>
  <mergeCells count="25">
    <mergeCell ref="Y22:AD22"/>
    <mergeCell ref="Y28:AD28"/>
    <mergeCell ref="Y42:AD42"/>
    <mergeCell ref="Y43:AD43"/>
    <mergeCell ref="Y44:AD45"/>
    <mergeCell ref="D28:H28"/>
    <mergeCell ref="I28:K28"/>
    <mergeCell ref="L28:P28"/>
    <mergeCell ref="Q28:T28"/>
    <mergeCell ref="U28:X28"/>
    <mergeCell ref="D22:H22"/>
    <mergeCell ref="I22:K22"/>
    <mergeCell ref="L22:P22"/>
    <mergeCell ref="Q22:T22"/>
    <mergeCell ref="U22:X22"/>
    <mergeCell ref="U46:U47"/>
    <mergeCell ref="V46:X46"/>
    <mergeCell ref="V47:X47"/>
    <mergeCell ref="Y46:AD46"/>
    <mergeCell ref="D42:K43"/>
    <mergeCell ref="U44:X45"/>
    <mergeCell ref="R42:T42"/>
    <mergeCell ref="R43:T43"/>
    <mergeCell ref="Q42:Q43"/>
    <mergeCell ref="L42:P42"/>
  </mergeCells>
  <conditionalFormatting sqref="D19:D20">
    <cfRule type="top10" dxfId="82" priority="175" rank="1"/>
    <cfRule type="top10" dxfId="81" priority="23" rank="1"/>
  </conditionalFormatting>
  <conditionalFormatting sqref="D40:G40">
    <cfRule type="cellIs" dxfId="80" priority="82" operator="greaterThan">
      <formula>0</formula>
    </cfRule>
  </conditionalFormatting>
  <conditionalFormatting sqref="D19:H20">
    <cfRule type="cellIs" dxfId="79" priority="14" stopIfTrue="1" operator="equal">
      <formula>0</formula>
    </cfRule>
  </conditionalFormatting>
  <conditionalFormatting sqref="D26:H26">
    <cfRule type="cellIs" dxfId="78" priority="4" operator="equal">
      <formula>0</formula>
    </cfRule>
  </conditionalFormatting>
  <conditionalFormatting sqref="D24:K25">
    <cfRule type="cellIs" dxfId="77" priority="33" operator="equal">
      <formula>0</formula>
    </cfRule>
  </conditionalFormatting>
  <conditionalFormatting sqref="D30:S40">
    <cfRule type="cellIs" dxfId="76" priority="79" operator="equal">
      <formula>0</formula>
    </cfRule>
  </conditionalFormatting>
  <conditionalFormatting sqref="E19:E20">
    <cfRule type="top10" dxfId="75" priority="22" rank="1"/>
    <cfRule type="top10" dxfId="74" priority="21" rank="1"/>
  </conditionalFormatting>
  <conditionalFormatting sqref="F19:F20">
    <cfRule type="top10" dxfId="73" priority="20" rank="1"/>
    <cfRule type="top10" dxfId="72" priority="19" rank="1"/>
  </conditionalFormatting>
  <conditionalFormatting sqref="G19:G20">
    <cfRule type="top10" dxfId="71" priority="17" rank="1"/>
    <cfRule type="top10" dxfId="70" priority="18" rank="1"/>
  </conditionalFormatting>
  <conditionalFormatting sqref="G24:G26">
    <cfRule type="top10" dxfId="69" priority="32" rank="1"/>
  </conditionalFormatting>
  <conditionalFormatting sqref="G30:G39">
    <cfRule type="top10" dxfId="68" priority="45" rank="1"/>
  </conditionalFormatting>
  <conditionalFormatting sqref="H19:H20">
    <cfRule type="top10" dxfId="67" priority="16" rank="1"/>
    <cfRule type="top10" dxfId="66" priority="15" rank="1"/>
  </conditionalFormatting>
  <conditionalFormatting sqref="H24:H26">
    <cfRule type="top10" dxfId="65" priority="31" rank="1"/>
  </conditionalFormatting>
  <conditionalFormatting sqref="H30:H39">
    <cfRule type="top10" dxfId="64" priority="44" rank="1"/>
  </conditionalFormatting>
  <conditionalFormatting sqref="K24:K25">
    <cfRule type="top10" dxfId="63" priority="34" rank="1"/>
  </conditionalFormatting>
  <conditionalFormatting sqref="K30:K39">
    <cfRule type="top10" dxfId="62" priority="43" rank="1"/>
  </conditionalFormatting>
  <conditionalFormatting sqref="L24:P24">
    <cfRule type="cellIs" dxfId="61" priority="37" operator="equal">
      <formula>0</formula>
    </cfRule>
  </conditionalFormatting>
  <conditionalFormatting sqref="P24">
    <cfRule type="top10" dxfId="60" priority="36" rank="1"/>
  </conditionalFormatting>
  <conditionalFormatting sqref="P30:P39">
    <cfRule type="top10" dxfId="59" priority="49" rank="1"/>
  </conditionalFormatting>
  <conditionalFormatting sqref="Q24:S26">
    <cfRule type="cellIs" dxfId="58" priority="29" operator="equal">
      <formula>0</formula>
    </cfRule>
  </conditionalFormatting>
  <conditionalFormatting sqref="T24">
    <cfRule type="top10" dxfId="57" priority="9" rank="1"/>
  </conditionalFormatting>
  <conditionalFormatting sqref="T24:T26">
    <cfRule type="cellIs" dxfId="56" priority="10" operator="equal">
      <formula>0</formula>
    </cfRule>
  </conditionalFormatting>
  <conditionalFormatting sqref="T25:T26">
    <cfRule type="top10" dxfId="55" priority="28" rank="1"/>
  </conditionalFormatting>
  <conditionalFormatting sqref="T30:T39">
    <cfRule type="top10" dxfId="54" priority="59" rank="1"/>
  </conditionalFormatting>
  <conditionalFormatting sqref="T30:AE40">
    <cfRule type="cellIs" dxfId="53" priority="78" operator="equal">
      <formula>0</formula>
    </cfRule>
  </conditionalFormatting>
  <conditionalFormatting sqref="X30:X39">
    <cfRule type="top10" dxfId="52" priority="1" rank="1"/>
  </conditionalFormatting>
  <conditionalFormatting sqref="AA24">
    <cfRule type="top10" dxfId="51" priority="2" rank="1"/>
  </conditionalFormatting>
  <conditionalFormatting sqref="AA30:AA39">
    <cfRule type="top10" dxfId="50" priority="3" rank="1"/>
  </conditionalFormatting>
  <conditionalFormatting sqref="AD24">
    <cfRule type="top10" dxfId="49" priority="24" rank="1"/>
  </conditionalFormatting>
  <conditionalFormatting sqref="AD30:AD39">
    <cfRule type="top10" dxfId="48" priority="57" rank="1"/>
  </conditionalFormatting>
  <conditionalFormatting sqref="AE24:AE26">
    <cfRule type="top10" dxfId="47" priority="5" bottom="1" rank="1"/>
  </conditionalFormatting>
  <conditionalFormatting sqref="AE26">
    <cfRule type="cellIs" dxfId="46" priority="6" operator="equal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T2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2171-7E0E-8C46-AB28-1CE9D7DC6114}">
  <dimension ref="B1:AG62"/>
  <sheetViews>
    <sheetView topLeftCell="A17" workbookViewId="0">
      <selection activeCell="C37" sqref="C37"/>
    </sheetView>
  </sheetViews>
  <sheetFormatPr baseColWidth="10" defaultColWidth="11" defaultRowHeight="16" x14ac:dyDescent="0.2"/>
  <cols>
    <col min="1" max="1" width="2.1640625" customWidth="1"/>
    <col min="2" max="2" width="3.1640625" hidden="1" customWidth="1"/>
    <col min="3" max="3" width="15.5" customWidth="1"/>
    <col min="4" max="7" width="7.33203125" style="3" customWidth="1"/>
    <col min="8" max="31" width="7.33203125" customWidth="1"/>
  </cols>
  <sheetData>
    <row r="1" spans="3:7" hidden="1" x14ac:dyDescent="0.2">
      <c r="C1" s="34" t="s">
        <v>122</v>
      </c>
      <c r="D1" s="15" t="s">
        <v>123</v>
      </c>
    </row>
    <row r="2" spans="3:7" hidden="1" x14ac:dyDescent="0.2">
      <c r="C2" s="144" t="s">
        <v>108</v>
      </c>
      <c r="D2" s="20">
        <f>COUNTIFS(Data!$A:$A,"="&amp;$D$18,Data!$C:$C,"&lt;&gt;"&amp;OppKey,Data!$D:$D,"="&amp;ServeAce)</f>
        <v>0</v>
      </c>
      <c r="E2"/>
      <c r="F2"/>
      <c r="G2"/>
    </row>
    <row r="3" spans="3:7" hidden="1" x14ac:dyDescent="0.2">
      <c r="C3" s="144" t="s">
        <v>109</v>
      </c>
      <c r="D3" s="20">
        <f>COUNTIFS(Data!$A:$A,"="&amp;$D$18,Data!$C:$C,"&lt;&gt;"&amp;OppKey,Data!$D:$D,"="&amp;ServeError)</f>
        <v>0</v>
      </c>
      <c r="E3"/>
      <c r="F3"/>
      <c r="G3"/>
    </row>
    <row r="4" spans="3:7" hidden="1" x14ac:dyDescent="0.2">
      <c r="C4" s="144" t="s">
        <v>110</v>
      </c>
      <c r="D4" s="20">
        <f>COUNTIFS(Data!$A:$A,"="&amp;$D$18,Data!$C:$C,"&lt;&gt;"&amp;OppKey,Data!$D:$D,"="&amp;Pass0)</f>
        <v>0</v>
      </c>
      <c r="E4"/>
      <c r="F4"/>
      <c r="G4"/>
    </row>
    <row r="5" spans="3:7" hidden="1" x14ac:dyDescent="0.2">
      <c r="C5" s="144" t="s">
        <v>111</v>
      </c>
      <c r="D5" s="20">
        <f>COUNTIFS(Data!$A:$A,"="&amp;$D$18,Data!$C:$C,"&lt;&gt;"&amp;OppKey,Data!$D:$D,"="&amp;KillSuccess)</f>
        <v>0</v>
      </c>
      <c r="E5"/>
      <c r="F5"/>
      <c r="G5"/>
    </row>
    <row r="6" spans="3:7" hidden="1" x14ac:dyDescent="0.2">
      <c r="C6" s="144" t="s">
        <v>112</v>
      </c>
      <c r="D6" s="20">
        <f>COUNTIFS(Data!$A:$A,"="&amp;$D$18,Data!$C:$C,"&lt;&gt;"&amp;OppKey,Data!$D:$D,"="&amp;KillError)</f>
        <v>0</v>
      </c>
      <c r="E6"/>
      <c r="F6"/>
      <c r="G6"/>
    </row>
    <row r="7" spans="3:7" hidden="1" x14ac:dyDescent="0.2">
      <c r="C7" s="144" t="s">
        <v>113</v>
      </c>
      <c r="D7" s="20">
        <f>COUNTIFS(Data!$A:$A,"="&amp;$D$18,Data!$C:$C,"&lt;&gt;"&amp;OppKey,Data!$D:$D,"="&amp;AssistError)</f>
        <v>0</v>
      </c>
      <c r="E7"/>
      <c r="F7"/>
      <c r="G7"/>
    </row>
    <row r="8" spans="3:7" hidden="1" x14ac:dyDescent="0.2">
      <c r="C8" s="144" t="s">
        <v>114</v>
      </c>
      <c r="D8" s="20" cm="1">
        <f t="array" ref="D8">COUNTIFS(Data!$A:$A,"="&amp;$D$18,Data!$C:$C,"&lt;&gt;"&amp;OppKey,Data!$D:$D,"="&amp;BlockKillHalf)</f>
        <v>0</v>
      </c>
      <c r="E8"/>
      <c r="F8"/>
      <c r="G8"/>
    </row>
    <row r="9" spans="3:7" hidden="1" x14ac:dyDescent="0.2">
      <c r="C9" s="144" t="s">
        <v>115</v>
      </c>
      <c r="D9" s="20">
        <f>COUNTIFS(Data!$A:$A,"="&amp;$D$18,Data!$C:$C,"&lt;&gt;"&amp;OppKey,Data!$D:$D,"="&amp;BlockKillSolo)</f>
        <v>0</v>
      </c>
      <c r="E9"/>
      <c r="F9"/>
      <c r="G9"/>
    </row>
    <row r="10" spans="3:7" hidden="1" x14ac:dyDescent="0.2">
      <c r="C10" s="144" t="s">
        <v>119</v>
      </c>
      <c r="D10" s="20">
        <f>COUNTIFS(Data!$A:$A,"="&amp;$D$18,Data!$C:$C,"&lt;&gt;"&amp;OppKey,Data!$D:$D,"="&amp;GeneralError)</f>
        <v>0</v>
      </c>
      <c r="E10"/>
      <c r="F10"/>
      <c r="G10"/>
    </row>
    <row r="11" spans="3:7" hidden="1" x14ac:dyDescent="0.2">
      <c r="C11" s="144"/>
      <c r="D11" s="20"/>
      <c r="E11"/>
      <c r="F11"/>
      <c r="G11"/>
    </row>
    <row r="12" spans="3:7" hidden="1" x14ac:dyDescent="0.2">
      <c r="C12" s="144" t="s">
        <v>107</v>
      </c>
      <c r="D12" s="20">
        <f>COUNTIFS(Data!$A:$A,"="&amp;$D$18,Data!$C:$C,"="&amp;OppKey,Data!$D:$D,"="&amp;ServeAce)</f>
        <v>0</v>
      </c>
      <c r="E12"/>
      <c r="F12"/>
      <c r="G12"/>
    </row>
    <row r="13" spans="3:7" hidden="1" x14ac:dyDescent="0.2">
      <c r="C13" s="144" t="s">
        <v>117</v>
      </c>
      <c r="D13" s="20">
        <f>COUNTIFS(Data!$A:$A,"="&amp;$D$18,Data!$C:$C,"="&amp;OppKey,Data!$D:$D,"="&amp;ServeError)</f>
        <v>0</v>
      </c>
      <c r="E13"/>
      <c r="F13"/>
      <c r="G13"/>
    </row>
    <row r="14" spans="3:7" hidden="1" x14ac:dyDescent="0.2">
      <c r="C14" s="144" t="s">
        <v>116</v>
      </c>
      <c r="D14" s="20">
        <f>COUNTIFS(Data!$A:$A,"="&amp;$D$18,Data!$C:$C,"="&amp;OppKey,Data!$D:$D,"="&amp;KillSuccess)</f>
        <v>0</v>
      </c>
      <c r="E14"/>
      <c r="F14"/>
      <c r="G14"/>
    </row>
    <row r="15" spans="3:7" hidden="1" x14ac:dyDescent="0.2">
      <c r="C15" s="144" t="s">
        <v>118</v>
      </c>
      <c r="D15" s="20">
        <f>COUNTIFS(Data!$A:$A,"="&amp;$D$18,Data!$C:$C,"="&amp;OppKey,Data!$D:$D,"="&amp;KillError)</f>
        <v>0</v>
      </c>
      <c r="E15"/>
      <c r="F15"/>
      <c r="G15"/>
    </row>
    <row r="16" spans="3:7" ht="17" hidden="1" thickBot="1" x14ac:dyDescent="0.25">
      <c r="C16" s="145" t="s">
        <v>120</v>
      </c>
      <c r="D16" s="84">
        <f>COUNTIFS(Data!$A:$A,"="&amp;$D$18,Data!$C:$C,"="&amp;OppKey,Data!$D:$D,"="&amp;GeneralError)</f>
        <v>0</v>
      </c>
      <c r="E16"/>
      <c r="F16"/>
      <c r="G16"/>
    </row>
    <row r="17" spans="2:33" ht="17" thickBot="1" x14ac:dyDescent="0.25"/>
    <row r="18" spans="2:33" ht="19" x14ac:dyDescent="0.25">
      <c r="C18" s="26" t="s">
        <v>67</v>
      </c>
      <c r="D18" s="121">
        <v>5</v>
      </c>
      <c r="E18"/>
      <c r="F18" s="269"/>
      <c r="G18"/>
    </row>
    <row r="19" spans="2:33" ht="19" x14ac:dyDescent="0.25">
      <c r="C19" s="112" t="s">
        <v>173</v>
      </c>
      <c r="D19" s="122">
        <f>D2+D5+D8/2+D9+D13+D15+D16</f>
        <v>0</v>
      </c>
      <c r="E19"/>
      <c r="F19" s="269"/>
      <c r="G19"/>
    </row>
    <row r="20" spans="2:33" ht="20" thickBot="1" x14ac:dyDescent="0.3">
      <c r="C20" s="113" t="s">
        <v>174</v>
      </c>
      <c r="D20" s="123">
        <f>D3+D4+D6+D7+D10+D12+D14</f>
        <v>0</v>
      </c>
      <c r="E20"/>
      <c r="F20" s="269"/>
      <c r="G20"/>
    </row>
    <row r="21" spans="2:33" ht="17" thickBot="1" x14ac:dyDescent="0.25">
      <c r="B21" s="4"/>
      <c r="C21" s="3"/>
    </row>
    <row r="22" spans="2:33" x14ac:dyDescent="0.2">
      <c r="C22" s="34" t="s">
        <v>104</v>
      </c>
      <c r="D22" s="304" t="s">
        <v>71</v>
      </c>
      <c r="E22" s="305"/>
      <c r="F22" s="305"/>
      <c r="G22" s="306"/>
      <c r="H22" s="307"/>
      <c r="I22" s="308" t="s">
        <v>64</v>
      </c>
      <c r="J22" s="308"/>
      <c r="K22" s="309"/>
      <c r="L22" s="310" t="s">
        <v>72</v>
      </c>
      <c r="M22" s="311"/>
      <c r="N22" s="311"/>
      <c r="O22" s="311"/>
      <c r="P22" s="312"/>
      <c r="Q22" s="313" t="s">
        <v>73</v>
      </c>
      <c r="R22" s="314"/>
      <c r="S22" s="314"/>
      <c r="T22" s="315"/>
      <c r="U22" s="316" t="s">
        <v>74</v>
      </c>
      <c r="V22" s="317"/>
      <c r="W22" s="317"/>
      <c r="X22" s="318"/>
      <c r="Y22" s="319" t="s">
        <v>75</v>
      </c>
      <c r="Z22" s="320"/>
      <c r="AA22" s="320"/>
      <c r="AB22" s="320"/>
      <c r="AC22" s="320"/>
      <c r="AD22" s="321"/>
      <c r="AE22" s="15" t="s">
        <v>76</v>
      </c>
    </row>
    <row r="23" spans="2:33" x14ac:dyDescent="0.2">
      <c r="B23" s="1" t="s">
        <v>77</v>
      </c>
      <c r="C23" s="12"/>
      <c r="D23" s="187" t="s">
        <v>22</v>
      </c>
      <c r="E23" s="188" t="s">
        <v>78</v>
      </c>
      <c r="F23" s="189" t="s">
        <v>79</v>
      </c>
      <c r="G23" s="190" t="s">
        <v>80</v>
      </c>
      <c r="H23" s="191" t="s">
        <v>81</v>
      </c>
      <c r="I23" s="192" t="s">
        <v>82</v>
      </c>
      <c r="J23" s="189" t="s">
        <v>83</v>
      </c>
      <c r="K23" s="193" t="s">
        <v>80</v>
      </c>
      <c r="L23" s="187">
        <v>3</v>
      </c>
      <c r="M23" s="188">
        <v>2</v>
      </c>
      <c r="N23" s="188">
        <v>1</v>
      </c>
      <c r="O23" s="189">
        <v>0</v>
      </c>
      <c r="P23" s="194" t="s">
        <v>84</v>
      </c>
      <c r="Q23" s="187" t="s">
        <v>85</v>
      </c>
      <c r="R23" s="188" t="s">
        <v>73</v>
      </c>
      <c r="S23" s="189" t="s">
        <v>79</v>
      </c>
      <c r="T23" s="195" t="s">
        <v>86</v>
      </c>
      <c r="U23" s="187" t="s">
        <v>32</v>
      </c>
      <c r="V23" s="188" t="s">
        <v>87</v>
      </c>
      <c r="W23" s="189" t="s">
        <v>79</v>
      </c>
      <c r="X23" s="196" t="s">
        <v>101</v>
      </c>
      <c r="Y23" s="187" t="s">
        <v>140</v>
      </c>
      <c r="Z23" s="189" t="s">
        <v>141</v>
      </c>
      <c r="AA23" s="197" t="s">
        <v>139</v>
      </c>
      <c r="AB23" s="187" t="s">
        <v>132</v>
      </c>
      <c r="AC23" s="189" t="s">
        <v>133</v>
      </c>
      <c r="AD23" s="197" t="s">
        <v>134</v>
      </c>
      <c r="AE23" s="198" t="s">
        <v>79</v>
      </c>
      <c r="AF23" s="4"/>
      <c r="AG23" s="4"/>
    </row>
    <row r="24" spans="2:33" x14ac:dyDescent="0.2">
      <c r="B24" s="1"/>
      <c r="C24" s="64" t="s">
        <v>88</v>
      </c>
      <c r="D24" s="13">
        <f>SUM(D30:D40)</f>
        <v>0</v>
      </c>
      <c r="E24" s="5">
        <f>SUM(E30:E40)</f>
        <v>0</v>
      </c>
      <c r="F24" s="7">
        <f>SUM(F30:F40)</f>
        <v>0</v>
      </c>
      <c r="G24" s="63">
        <f>SUM(D24:F24)</f>
        <v>0</v>
      </c>
      <c r="H24" s="65">
        <f>IF((F24+E24+D24)=0,0,(D24+E24)/(F24+E24+D24))</f>
        <v>0</v>
      </c>
      <c r="I24" s="92">
        <f t="shared" ref="I24:S24" si="0">SUM(I30:I40)</f>
        <v>0</v>
      </c>
      <c r="J24" s="93">
        <f t="shared" si="0"/>
        <v>0</v>
      </c>
      <c r="K24" s="66">
        <f t="shared" si="0"/>
        <v>0</v>
      </c>
      <c r="L24" s="92">
        <f t="shared" si="0"/>
        <v>0</v>
      </c>
      <c r="M24" s="93">
        <f t="shared" si="0"/>
        <v>0</v>
      </c>
      <c r="N24" s="93">
        <f t="shared" si="0"/>
        <v>0</v>
      </c>
      <c r="O24" s="93">
        <f t="shared" si="0"/>
        <v>0</v>
      </c>
      <c r="P24" s="97">
        <f t="shared" si="0"/>
        <v>0</v>
      </c>
      <c r="Q24" s="92">
        <f t="shared" si="0"/>
        <v>0</v>
      </c>
      <c r="R24" s="93">
        <f t="shared" si="0"/>
        <v>0</v>
      </c>
      <c r="S24" s="102">
        <f t="shared" si="0"/>
        <v>0</v>
      </c>
      <c r="T24" s="118">
        <f t="shared" ref="T24" si="1">IF((Q24+R24+S24)=0,0,(R24-S24)/(Q24+R24+S24))</f>
        <v>0</v>
      </c>
      <c r="U24" s="92">
        <f>SUM(U30:U40)</f>
        <v>0</v>
      </c>
      <c r="V24" s="93">
        <f>SUM(V30:V40)</f>
        <v>0</v>
      </c>
      <c r="W24" s="93">
        <f>SUM(W30:W40)</f>
        <v>0</v>
      </c>
      <c r="X24" s="107">
        <f>IF((U24+V24+W24)=0,0,(V24)/(U24+V24+W24))</f>
        <v>0</v>
      </c>
      <c r="Y24" s="92">
        <f t="shared" ref="Y24:AD24" si="2">SUM(Y30:Y39)</f>
        <v>0</v>
      </c>
      <c r="Z24" s="93">
        <f t="shared" si="2"/>
        <v>0</v>
      </c>
      <c r="AA24" s="108">
        <f t="shared" si="2"/>
        <v>0</v>
      </c>
      <c r="AB24" s="92">
        <f t="shared" si="2"/>
        <v>0</v>
      </c>
      <c r="AC24" s="93">
        <f t="shared" si="2"/>
        <v>0</v>
      </c>
      <c r="AD24" s="108">
        <f t="shared" si="2"/>
        <v>0</v>
      </c>
      <c r="AE24" s="17">
        <f>SUM(AE30:AE40)</f>
        <v>0</v>
      </c>
      <c r="AF24" s="4"/>
      <c r="AG24" s="4"/>
    </row>
    <row r="25" spans="2:33" x14ac:dyDescent="0.2">
      <c r="B25" s="1"/>
      <c r="C25" s="64" t="s">
        <v>106</v>
      </c>
      <c r="D25" s="67">
        <f>IF(G24=0,0,D24/G24)</f>
        <v>0</v>
      </c>
      <c r="E25" s="68">
        <f>IF(G24=0,0,E24/G24)</f>
        <v>0</v>
      </c>
      <c r="F25" s="69">
        <f>IF(G24=0,0,F24/G24)</f>
        <v>0</v>
      </c>
      <c r="G25" s="90"/>
      <c r="H25" s="91"/>
      <c r="I25" s="87"/>
      <c r="J25" s="88"/>
      <c r="K25" s="89"/>
      <c r="L25" s="95" t="e">
        <f>L24/(L24+M24+N24+O24)</f>
        <v>#DIV/0!</v>
      </c>
      <c r="M25" s="96" t="e">
        <f>M24/(L24+M24+N24+O24)</f>
        <v>#DIV/0!</v>
      </c>
      <c r="N25" s="96" t="e">
        <f>N24/(L24+M24+N24+O24)</f>
        <v>#DIV/0!</v>
      </c>
      <c r="O25" s="96" t="e">
        <f>O24/(L24+M24+N24+O24)</f>
        <v>#DIV/0!</v>
      </c>
      <c r="P25" s="98"/>
      <c r="Q25" s="95" t="e">
        <f>Q24/(Q24+R24+S24)</f>
        <v>#DIV/0!</v>
      </c>
      <c r="R25" s="96" t="e">
        <f>R24/(Q24+R24+S24)</f>
        <v>#DIV/0!</v>
      </c>
      <c r="S25" s="100" t="e">
        <f>S24/(S24+R24+Q24)</f>
        <v>#DIV/0!</v>
      </c>
      <c r="T25" s="101"/>
      <c r="U25" s="95" t="e">
        <f>U24/(U24+V24+W24)</f>
        <v>#DIV/0!</v>
      </c>
      <c r="V25" s="96" t="e">
        <f>V24/(U24+V24+W24)</f>
        <v>#DIV/0!</v>
      </c>
      <c r="W25" s="96" t="e">
        <f>W24/(U24+V24+W24)</f>
        <v>#DIV/0!</v>
      </c>
      <c r="X25" s="98"/>
      <c r="Y25" s="104"/>
      <c r="Z25" s="105"/>
      <c r="AA25" s="98"/>
      <c r="AB25" s="104"/>
      <c r="AC25" s="105"/>
      <c r="AD25" s="98"/>
      <c r="AE25" s="106"/>
      <c r="AF25" s="4"/>
      <c r="AG25" s="4"/>
    </row>
    <row r="26" spans="2:33" ht="17" thickBot="1" x14ac:dyDescent="0.25">
      <c r="B26" s="1" t="str">
        <f>Legend!A26</f>
        <v>p</v>
      </c>
      <c r="C26" s="35" t="s">
        <v>15</v>
      </c>
      <c r="D26" s="114">
        <f>COUNTIFS(Data!$A:$A,"="&amp;$D$18,Data!$C:$C,"="&amp;B26,Data!$D:$D,"="&amp;ServeIn)</f>
        <v>0</v>
      </c>
      <c r="E26" s="115">
        <f>COUNTIFS(Data!$A:$A,"="&amp;$D$18,Data!$C:$C,"="&amp;B26,Data!$D:$D,"="&amp;ServeAce)</f>
        <v>0</v>
      </c>
      <c r="F26" s="116">
        <f>COUNTIFS(Data!$A:$A,"="&amp;$D$18,Data!$C:$C,"="&amp;B26,Data!$D:$D,"="&amp;ServeError)</f>
        <v>0</v>
      </c>
      <c r="G26" s="40">
        <f>SUM(D26:F26)</f>
        <v>0</v>
      </c>
      <c r="H26" s="117">
        <f>IF((F26+E26+D26)=0,0,(D26+E26)/(F26+E26+D26))</f>
        <v>0</v>
      </c>
      <c r="I26" s="85"/>
      <c r="J26" s="85"/>
      <c r="K26" s="86"/>
      <c r="L26" s="94"/>
      <c r="M26" s="85"/>
      <c r="N26" s="85"/>
      <c r="O26" s="85"/>
      <c r="P26" s="86"/>
      <c r="Q26" s="72">
        <f>COUNTIFS(Data!$A:$A,"="&amp;$D$18,Data!$C:$C,"="&amp;B26,Data!$D:$D,"="&amp;KillAttempt)</f>
        <v>0</v>
      </c>
      <c r="R26" s="73">
        <f>COUNTIFS(Data!$A:$A,"="&amp;$D$18,Data!$C:$C,"="&amp;B26,Data!$D:$D,"="&amp;KillSuccess)</f>
        <v>0</v>
      </c>
      <c r="S26" s="74">
        <f>COUNTIFS(Data!$A:$A,"="&amp;$D$18,Data!$C:$C,"="&amp;B26,Data!$D:$D,"="&amp;KillError)</f>
        <v>0</v>
      </c>
      <c r="T26" s="99"/>
      <c r="U26" s="94"/>
      <c r="V26" s="85"/>
      <c r="W26" s="85"/>
      <c r="X26" s="103"/>
      <c r="Y26" s="94"/>
      <c r="Z26" s="85"/>
      <c r="AA26" s="103"/>
      <c r="AB26" s="94"/>
      <c r="AC26" s="85"/>
      <c r="AD26" s="103"/>
      <c r="AE26" s="119">
        <f>COUNTIFS(Data!$A:$A,"="&amp;$D$18,Data!$C:$C,"="&amp;$B26,Data!$D:$D,"="&amp;GeneralError)</f>
        <v>0</v>
      </c>
      <c r="AF26" s="4"/>
      <c r="AG26" s="4"/>
    </row>
    <row r="27" spans="2:33" ht="17" thickBot="1" x14ac:dyDescent="0.25">
      <c r="B27" s="1"/>
      <c r="C27" s="1"/>
      <c r="D27" s="70"/>
      <c r="E27" s="70"/>
      <c r="F27" s="70"/>
      <c r="G27" s="71"/>
      <c r="H27" s="7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2:33" x14ac:dyDescent="0.2">
      <c r="C28" s="34" t="s">
        <v>105</v>
      </c>
      <c r="D28" s="304" t="s">
        <v>71</v>
      </c>
      <c r="E28" s="305"/>
      <c r="F28" s="305"/>
      <c r="G28" s="306"/>
      <c r="H28" s="307"/>
      <c r="I28" s="308" t="s">
        <v>64</v>
      </c>
      <c r="J28" s="308"/>
      <c r="K28" s="309"/>
      <c r="L28" s="310" t="s">
        <v>72</v>
      </c>
      <c r="M28" s="311"/>
      <c r="N28" s="311"/>
      <c r="O28" s="311"/>
      <c r="P28" s="312"/>
      <c r="Q28" s="313" t="s">
        <v>73</v>
      </c>
      <c r="R28" s="314"/>
      <c r="S28" s="314"/>
      <c r="T28" s="315"/>
      <c r="U28" s="316" t="s">
        <v>74</v>
      </c>
      <c r="V28" s="317"/>
      <c r="W28" s="317"/>
      <c r="X28" s="318"/>
      <c r="Y28" s="319" t="s">
        <v>75</v>
      </c>
      <c r="Z28" s="320"/>
      <c r="AA28" s="320"/>
      <c r="AB28" s="320"/>
      <c r="AC28" s="320"/>
      <c r="AD28" s="321"/>
      <c r="AE28" s="15" t="s">
        <v>76</v>
      </c>
    </row>
    <row r="29" spans="2:33" x14ac:dyDescent="0.2">
      <c r="B29" s="1" t="s">
        <v>77</v>
      </c>
      <c r="C29" s="12"/>
      <c r="D29" s="16" t="s">
        <v>22</v>
      </c>
      <c r="E29" s="10" t="s">
        <v>78</v>
      </c>
      <c r="F29" s="11" t="s">
        <v>79</v>
      </c>
      <c r="G29" s="61" t="s">
        <v>80</v>
      </c>
      <c r="H29" s="62" t="s">
        <v>81</v>
      </c>
      <c r="I29" s="56" t="s">
        <v>82</v>
      </c>
      <c r="J29" s="11" t="s">
        <v>83</v>
      </c>
      <c r="K29" s="41" t="s">
        <v>80</v>
      </c>
      <c r="L29" s="16">
        <v>3</v>
      </c>
      <c r="M29" s="10">
        <v>2</v>
      </c>
      <c r="N29" s="10">
        <v>1</v>
      </c>
      <c r="O29" s="11">
        <v>0</v>
      </c>
      <c r="P29" s="44" t="s">
        <v>84</v>
      </c>
      <c r="Q29" s="16" t="s">
        <v>85</v>
      </c>
      <c r="R29" s="10" t="s">
        <v>73</v>
      </c>
      <c r="S29" s="11" t="s">
        <v>79</v>
      </c>
      <c r="T29" s="47" t="s">
        <v>86</v>
      </c>
      <c r="U29" s="16" t="s">
        <v>32</v>
      </c>
      <c r="V29" s="10" t="s">
        <v>87</v>
      </c>
      <c r="W29" s="11" t="s">
        <v>79</v>
      </c>
      <c r="X29" s="60" t="s">
        <v>101</v>
      </c>
      <c r="Y29" s="187" t="s">
        <v>140</v>
      </c>
      <c r="Z29" s="189" t="s">
        <v>141</v>
      </c>
      <c r="AA29" s="197" t="s">
        <v>139</v>
      </c>
      <c r="AB29" s="187" t="s">
        <v>132</v>
      </c>
      <c r="AC29" s="189" t="s">
        <v>133</v>
      </c>
      <c r="AD29" s="197" t="s">
        <v>134</v>
      </c>
      <c r="AE29" s="21" t="s">
        <v>79</v>
      </c>
      <c r="AF29" s="4"/>
      <c r="AG29" s="4"/>
    </row>
    <row r="30" spans="2:33" x14ac:dyDescent="0.2">
      <c r="B30" t="str">
        <f>Legend!A11</f>
        <v>s</v>
      </c>
      <c r="C30" s="23" t="str">
        <f>Legend!B11&amp;" - "&amp;Legend!C11</f>
        <v>1 - Sam</v>
      </c>
      <c r="D30" s="13">
        <f>COUNTIFS(Data!$A:$A,"="&amp;$D$18,Data!$C:$C,"="&amp;B30,Data!$D:$D,"="&amp;ServeIn)</f>
        <v>0</v>
      </c>
      <c r="E30" s="5">
        <f>COUNTIFS(Data!$A:$A,"="&amp;$D$18,Data!$C:$C,"="&amp;B30,Data!$D:$D,"="&amp;ServeAce)</f>
        <v>0</v>
      </c>
      <c r="F30" s="7">
        <f>COUNTIFS(Data!$A:$A,"="&amp;$D$18,Data!$C:$C,"="&amp;B30,Data!$D:$D,"="&amp;ServeError)</f>
        <v>0</v>
      </c>
      <c r="G30" s="36">
        <f>SUM(D30:F30)</f>
        <v>0</v>
      </c>
      <c r="H30" s="37">
        <f t="shared" ref="H30:H39" si="3">IF((D30+E30+F30)=0,0,(D30+E30)/(D30+E30+F30))</f>
        <v>0</v>
      </c>
      <c r="I30" s="5">
        <f>COUNTIFS(Data!$A:$A,"="&amp;$D$18,Data!$C:$C,"="&amp;B30,Data!$D:$D,"="&amp;Dig)</f>
        <v>0</v>
      </c>
      <c r="J30" s="5">
        <f>COUNTIFS(Data!$A:$A,"="&amp;$D$18,Data!$C:$C,"="&amp;B30,Data!$D:$D,"="&amp;Cover)</f>
        <v>0</v>
      </c>
      <c r="K30" s="42">
        <f t="shared" ref="K30:K39" si="4">J30+I30</f>
        <v>0</v>
      </c>
      <c r="L30" s="13">
        <f>COUNTIFS(Data!$A:$A,"="&amp;$D$18,Data!$C:$C,"="&amp;B30,Data!$D:$D,"="&amp;Pass3)</f>
        <v>0</v>
      </c>
      <c r="M30" s="5">
        <f>COUNTIFS(Data!$A:$A,"="&amp;$D$18,Data!$C:$C,"="&amp;B30,Data!$D:$D,"="&amp;Pass2)</f>
        <v>0</v>
      </c>
      <c r="N30" s="5">
        <f>COUNTIFS(Data!$A:$A,"="&amp;$D$18,Data!$C:$C,"="&amp;B30,Data!$D:$D,"="&amp;Pass1)</f>
        <v>0</v>
      </c>
      <c r="O30" s="5">
        <f>COUNTIFS(Data!$A:$A,"="&amp;$D$18,Data!$C:$C,"="&amp;B30,Data!$D:$D,"="&amp;Pass0)</f>
        <v>0</v>
      </c>
      <c r="P30" s="45">
        <f>L30*3+M30*2+N30*1</f>
        <v>0</v>
      </c>
      <c r="Q30" s="13">
        <f>COUNTIFS(Data!$A:$A,"="&amp;$D$18,Data!$C:$C,"="&amp;$B30,Data!$D:$D,"="&amp;KillAttempt)</f>
        <v>0</v>
      </c>
      <c r="R30" s="5">
        <f>COUNTIFS(Data!$A:$A,"="&amp;$D$18,Data!$C:$C,"="&amp;$B30,Data!$D:$D,"="&amp;KillSuccess)</f>
        <v>0</v>
      </c>
      <c r="S30" s="7">
        <f>COUNTIFS(Data!$A:$A,"="&amp;$D$18,Data!$C:$C,"="&amp;$B30,Data!$D:$D,"="&amp;KillError)</f>
        <v>0</v>
      </c>
      <c r="T30" s="48">
        <f>IF((Q30+R30+S30)=0,0,(R30-S30)/(Q30+R30+S30))</f>
        <v>0</v>
      </c>
      <c r="U30" s="13">
        <f>COUNTIFS(Data!$A:$A,"="&amp;$D$18,Data!$C:$C,"="&amp;$B30,Data!$D:$D,"="&amp;AssistZero)</f>
        <v>0</v>
      </c>
      <c r="V30" s="5">
        <f>COUNTIFS(Data!$A:$A,"="&amp;$D$18,Data!$C:$C,"="&amp;$B30,Data!$D:$D,"="&amp;AssistSuccess)</f>
        <v>0</v>
      </c>
      <c r="W30" s="5">
        <f>COUNTIFS(Data!$A:$A,"="&amp;$D$18,Data!$C:$C,"="&amp;$B30,Data!$D:$D,"="&amp;AssistError)</f>
        <v>0</v>
      </c>
      <c r="X30" s="50">
        <f t="shared" ref="X30:X39" si="5">IF((U30+V30+W30)=0,0,(V30)/(U30+V30+W30))</f>
        <v>0</v>
      </c>
      <c r="Y30" s="13">
        <f>COUNTIFS(Data!$A:$A,"="&amp;$D$18,Data!$C:$C,"="&amp;$B30,Data!$D:$D,"="&amp;BlockHalf)</f>
        <v>0</v>
      </c>
      <c r="Z30" s="5">
        <f>COUNTIFS(Data!$A:$A,"="&amp;$D$18,Data!$C:$C,"="&amp;$B30,Data!$D:$D,"="&amp;BlockSolo)</f>
        <v>0</v>
      </c>
      <c r="AA30" s="52">
        <f>Y30*0.5+Z30</f>
        <v>0</v>
      </c>
      <c r="AB30" s="13" cm="1">
        <f t="array" ref="AB30">COUNTIFS(Data!$A:$A,"="&amp;$D$18,Data!$C:$C,"="&amp;$B30,Data!$D:$D,"="&amp;BlockKillHalf)</f>
        <v>0</v>
      </c>
      <c r="AC30" s="5">
        <f>COUNTIFS(Data!$A:$A,"="&amp;$D$18,Data!$C:$C,"="&amp;$B30,Data!$D:$D,"="&amp;BlockKillSolo)</f>
        <v>0</v>
      </c>
      <c r="AD30" s="52">
        <f>AB30*0.5+AC30</f>
        <v>0</v>
      </c>
      <c r="AE30" s="19">
        <f>COUNTIFS(Data!$A:$A,"="&amp;$D$18,Data!$C:$C,"="&amp;$B30,Data!$D:$D,"="&amp;GeneralError)</f>
        <v>0</v>
      </c>
    </row>
    <row r="31" spans="2:33" x14ac:dyDescent="0.2">
      <c r="B31" t="str">
        <f>Legend!A12</f>
        <v>r</v>
      </c>
      <c r="C31" s="24" t="str">
        <f>Legend!B12&amp;" - "&amp;Legend!C12</f>
        <v>2 - Reece</v>
      </c>
      <c r="D31" s="14">
        <f>COUNTIFS(Data!$A:$A,"="&amp;$D$18,Data!$C:$C,"="&amp;B31,Data!$D:$D,"="&amp;ServeIn)</f>
        <v>0</v>
      </c>
      <c r="E31" s="3">
        <f>COUNTIFS(Data!$A:$A,"="&amp;$D$18,Data!$C:$C,"="&amp;B31,Data!$D:$D,"="&amp;ServeAce)</f>
        <v>0</v>
      </c>
      <c r="F31" s="8">
        <f>COUNTIFS(Data!$A:$A,"="&amp;$D$18,Data!$C:$C,"="&amp;B31,Data!$D:$D,"="&amp;ServeError)</f>
        <v>0</v>
      </c>
      <c r="G31" s="38">
        <f t="shared" ref="G31:G39" si="6">SUM(D31:F31)</f>
        <v>0</v>
      </c>
      <c r="H31" s="39">
        <f t="shared" si="3"/>
        <v>0</v>
      </c>
      <c r="I31" s="3">
        <f>COUNTIFS(Data!$A:$A,"="&amp;$D$18,Data!$C:$C,"="&amp;B31,Data!$D:$D,"="&amp;Dig)</f>
        <v>0</v>
      </c>
      <c r="J31" s="3">
        <f>COUNTIFS(Data!$A:$A,"="&amp;$D$18,Data!$C:$C,"="&amp;B31,Data!$D:$D,"="&amp;Cover)</f>
        <v>0</v>
      </c>
      <c r="K31" s="43">
        <f t="shared" si="4"/>
        <v>0</v>
      </c>
      <c r="L31" s="14">
        <f>COUNTIFS(Data!$A:$A,"="&amp;$D$18,Data!$C:$C,"="&amp;B31,Data!$D:$D,"="&amp;Pass3)</f>
        <v>0</v>
      </c>
      <c r="M31" s="3">
        <f>COUNTIFS(Data!$A:$A,"="&amp;$D$18,Data!$C:$C,"="&amp;B31,Data!$D:$D,"="&amp;Pass2)</f>
        <v>0</v>
      </c>
      <c r="N31" s="3">
        <f>COUNTIFS(Data!$A:$A,"="&amp;$D$18,Data!$C:$C,"="&amp;B31,Data!$D:$D,"="&amp;Pass1)</f>
        <v>0</v>
      </c>
      <c r="O31" s="3">
        <f>COUNTIFS(Data!$A:$A,"="&amp;$D$18,Data!$C:$C,"="&amp;B31,Data!$D:$D,"="&amp;Pass0)</f>
        <v>0</v>
      </c>
      <c r="P31" s="46">
        <f t="shared" ref="P31:P39" si="7">L31*3+M31*2+N31*1</f>
        <v>0</v>
      </c>
      <c r="Q31" s="14">
        <f>COUNTIFS(Data!$A:$A,"="&amp;$D$18,Data!$C:$C,"="&amp;$B31,Data!$D:$D,"="&amp;KillAttempt)</f>
        <v>0</v>
      </c>
      <c r="R31" s="3">
        <f>COUNTIFS(Data!$A:$A,"="&amp;$D$18,Data!$C:$C,"="&amp;$B31,Data!$D:$D,"="&amp;KillSuccess)</f>
        <v>0</v>
      </c>
      <c r="S31" s="8">
        <f>COUNTIFS(Data!$A:$A,"="&amp;$D$18,Data!$C:$C,"="&amp;$B31,Data!$D:$D,"="&amp;KillError)</f>
        <v>0</v>
      </c>
      <c r="T31" s="49">
        <f t="shared" ref="T31:T39" si="8">IF((Q31+R31+S31)=0,0,(R31-S31)/(Q31+R31+S31))</f>
        <v>0</v>
      </c>
      <c r="U31" s="14">
        <f>COUNTIFS(Data!$A:$A,"="&amp;$D$18,Data!$C:$C,"="&amp;$B31,Data!$D:$D,"="&amp;AssistZero)</f>
        <v>0</v>
      </c>
      <c r="V31" s="3">
        <f>COUNTIFS(Data!$A:$A,"="&amp;$D$18,Data!$C:$C,"="&amp;$B31,Data!$D:$D,"="&amp;AssistSuccess)</f>
        <v>0</v>
      </c>
      <c r="W31" s="3">
        <f>COUNTIFS(Data!$A:$A,"="&amp;$D$18,Data!$C:$C,"="&amp;$B31,Data!$D:$D,"="&amp;AssistError)</f>
        <v>0</v>
      </c>
      <c r="X31" s="50">
        <f t="shared" si="5"/>
        <v>0</v>
      </c>
      <c r="Y31" s="14">
        <f>COUNTIFS(Data!$A:$A,"="&amp;$D$18,Data!$C:$C,"="&amp;$B31,Data!$D:$D,"="&amp;BlockHalf)</f>
        <v>0</v>
      </c>
      <c r="Z31" s="3">
        <f>COUNTIFS(Data!$A:$A,"="&amp;$D$18,Data!$C:$C,"="&amp;$B31,Data!$D:$D,"="&amp;BlockSolo)</f>
        <v>0</v>
      </c>
      <c r="AA31" s="51">
        <f t="shared" ref="AA31:AA39" si="9">Y31*0.5+Z31</f>
        <v>0</v>
      </c>
      <c r="AB31" s="14" cm="1">
        <f t="array" ref="AB31">COUNTIFS(Data!$A:$A,"="&amp;$D$18,Data!$C:$C,"="&amp;$B31,Data!$D:$D,"="&amp;BlockKillHalf)</f>
        <v>0</v>
      </c>
      <c r="AC31" s="3">
        <f>COUNTIFS(Data!$A:$A,"="&amp;$D$18,Data!$C:$C,"="&amp;$B31,Data!$D:$D,"="&amp;BlockKillSolo)</f>
        <v>0</v>
      </c>
      <c r="AD31" s="51">
        <f t="shared" ref="AD31:AD39" si="10">AB31*0.5+AC31</f>
        <v>0</v>
      </c>
      <c r="AE31" s="20">
        <f>COUNTIFS(Data!$A:$A,"="&amp;$D$18,Data!$C:$C,"="&amp;$B31,Data!$D:$D,"="&amp;GeneralError)</f>
        <v>0</v>
      </c>
    </row>
    <row r="32" spans="2:33" x14ac:dyDescent="0.2">
      <c r="B32" t="str">
        <f>Legend!A13</f>
        <v>c</v>
      </c>
      <c r="C32" s="24" t="str">
        <f>Legend!B13&amp;" - "&amp;Legend!C13</f>
        <v>3 - Cameron</v>
      </c>
      <c r="D32" s="14">
        <f>COUNTIFS(Data!$A:$A,"="&amp;$D$18,Data!$C:$C,"="&amp;B32,Data!$D:$D,"="&amp;ServeIn)</f>
        <v>0</v>
      </c>
      <c r="E32" s="3">
        <f>COUNTIFS(Data!$A:$A,"="&amp;$D$18,Data!$C:$C,"="&amp;B32,Data!$D:$D,"="&amp;ServeAce)</f>
        <v>0</v>
      </c>
      <c r="F32" s="8">
        <f>COUNTIFS(Data!$A:$A,"="&amp;$D$18,Data!$C:$C,"="&amp;B32,Data!$D:$D,"="&amp;ServeError)</f>
        <v>0</v>
      </c>
      <c r="G32" s="38">
        <f t="shared" si="6"/>
        <v>0</v>
      </c>
      <c r="H32" s="39">
        <f t="shared" si="3"/>
        <v>0</v>
      </c>
      <c r="I32" s="3">
        <f>COUNTIFS(Data!$A:$A,"="&amp;$D$18,Data!$C:$C,"="&amp;B32,Data!$D:$D,"="&amp;Dig)</f>
        <v>0</v>
      </c>
      <c r="J32" s="3">
        <f>COUNTIFS(Data!$A:$A,"="&amp;$D$18,Data!$C:$C,"="&amp;B32,Data!$D:$D,"="&amp;Cover)</f>
        <v>0</v>
      </c>
      <c r="K32" s="43">
        <f t="shared" si="4"/>
        <v>0</v>
      </c>
      <c r="L32" s="14">
        <f>COUNTIFS(Data!$A:$A,"="&amp;$D$18,Data!$C:$C,"="&amp;B32,Data!$D:$D,"="&amp;Pass3)</f>
        <v>0</v>
      </c>
      <c r="M32" s="3">
        <f>COUNTIFS(Data!$A:$A,"="&amp;$D$18,Data!$C:$C,"="&amp;B32,Data!$D:$D,"="&amp;Pass2)</f>
        <v>0</v>
      </c>
      <c r="N32" s="3">
        <f>COUNTIFS(Data!$A:$A,"="&amp;$D$18,Data!$C:$C,"="&amp;B32,Data!$D:$D,"="&amp;Pass1)</f>
        <v>0</v>
      </c>
      <c r="O32" s="3">
        <f>COUNTIFS(Data!$A:$A,"="&amp;$D$18,Data!$C:$C,"="&amp;B32,Data!$D:$D,"="&amp;Pass0)</f>
        <v>0</v>
      </c>
      <c r="P32" s="46">
        <f t="shared" si="7"/>
        <v>0</v>
      </c>
      <c r="Q32" s="14">
        <f>COUNTIFS(Data!$A:$A,"="&amp;$D$18,Data!$C:$C,"="&amp;$B32,Data!$D:$D,"="&amp;KillAttempt)</f>
        <v>0</v>
      </c>
      <c r="R32" s="3">
        <f>COUNTIFS(Data!$A:$A,"="&amp;$D$18,Data!$C:$C,"="&amp;$B32,Data!$D:$D,"="&amp;KillSuccess)</f>
        <v>0</v>
      </c>
      <c r="S32" s="8">
        <f>COUNTIFS(Data!$A:$A,"="&amp;$D$18,Data!$C:$C,"="&amp;$B32,Data!$D:$D,"="&amp;KillError)</f>
        <v>0</v>
      </c>
      <c r="T32" s="49">
        <f t="shared" si="8"/>
        <v>0</v>
      </c>
      <c r="U32" s="14">
        <f>COUNTIFS(Data!$A:$A,"="&amp;$D$18,Data!$C:$C,"="&amp;$B32,Data!$D:$D,"="&amp;AssistZero)</f>
        <v>0</v>
      </c>
      <c r="V32" s="3">
        <f>COUNTIFS(Data!$A:$A,"="&amp;$D$18,Data!$C:$C,"="&amp;$B32,Data!$D:$D,"="&amp;AssistSuccess)</f>
        <v>0</v>
      </c>
      <c r="W32" s="3">
        <f>COUNTIFS(Data!$A:$A,"="&amp;$D$18,Data!$C:$C,"="&amp;$B32,Data!$D:$D,"="&amp;AssistError)</f>
        <v>0</v>
      </c>
      <c r="X32" s="50">
        <f t="shared" si="5"/>
        <v>0</v>
      </c>
      <c r="Y32" s="14">
        <f>COUNTIFS(Data!$A:$A,"="&amp;$D$18,Data!$C:$C,"="&amp;$B32,Data!$D:$D,"="&amp;BlockHalf)</f>
        <v>0</v>
      </c>
      <c r="Z32" s="3">
        <f>COUNTIFS(Data!$A:$A,"="&amp;$D$18,Data!$C:$C,"="&amp;$B32,Data!$D:$D,"="&amp;BlockSolo)</f>
        <v>0</v>
      </c>
      <c r="AA32" s="51">
        <f t="shared" si="9"/>
        <v>0</v>
      </c>
      <c r="AB32" s="14" cm="1">
        <f t="array" ref="AB32">COUNTIFS(Data!$A:$A,"="&amp;$D$18,Data!$C:$C,"="&amp;$B32,Data!$D:$D,"="&amp;BlockKillHalf)</f>
        <v>0</v>
      </c>
      <c r="AC32" s="3">
        <f>COUNTIFS(Data!$A:$A,"="&amp;$D$18,Data!$C:$C,"="&amp;$B32,Data!$D:$D,"="&amp;BlockKillSolo)</f>
        <v>0</v>
      </c>
      <c r="AD32" s="51">
        <f t="shared" si="10"/>
        <v>0</v>
      </c>
      <c r="AE32" s="20">
        <f>COUNTIFS(Data!$A:$A,"="&amp;$D$18,Data!$C:$C,"="&amp;$B32,Data!$D:$D,"="&amp;GeneralError)</f>
        <v>0</v>
      </c>
    </row>
    <row r="33" spans="2:31" x14ac:dyDescent="0.2">
      <c r="B33" t="str">
        <f>Legend!A14</f>
        <v>l</v>
      </c>
      <c r="C33" s="24" t="str">
        <f>Legend!B14&amp;" - "&amp;Legend!C14</f>
        <v>5 - Levi</v>
      </c>
      <c r="D33" s="14">
        <f>COUNTIFS(Data!$A:$A,"="&amp;$D$18,Data!$C:$C,"="&amp;B33,Data!$D:$D,"="&amp;ServeIn)</f>
        <v>0</v>
      </c>
      <c r="E33" s="3">
        <f>COUNTIFS(Data!$A:$A,"="&amp;$D$18,Data!$C:$C,"="&amp;B33,Data!$D:$D,"="&amp;ServeAce)</f>
        <v>0</v>
      </c>
      <c r="F33" s="8">
        <f>COUNTIFS(Data!$A:$A,"="&amp;$D$18,Data!$C:$C,"="&amp;B33,Data!$D:$D,"="&amp;ServeError)</f>
        <v>0</v>
      </c>
      <c r="G33" s="38">
        <f t="shared" si="6"/>
        <v>0</v>
      </c>
      <c r="H33" s="39">
        <f t="shared" si="3"/>
        <v>0</v>
      </c>
      <c r="I33" s="3">
        <f>COUNTIFS(Data!$A:$A,"="&amp;$D$18,Data!$C:$C,"="&amp;B33,Data!$D:$D,"="&amp;Dig)</f>
        <v>0</v>
      </c>
      <c r="J33" s="3">
        <f>COUNTIFS(Data!$A:$A,"="&amp;$D$18,Data!$C:$C,"="&amp;B33,Data!$D:$D,"="&amp;Cover)</f>
        <v>0</v>
      </c>
      <c r="K33" s="43">
        <f t="shared" si="4"/>
        <v>0</v>
      </c>
      <c r="L33" s="14">
        <f>COUNTIFS(Data!$A:$A,"="&amp;$D$18,Data!$C:$C,"="&amp;B33,Data!$D:$D,"="&amp;Pass3)</f>
        <v>0</v>
      </c>
      <c r="M33" s="3">
        <f>COUNTIFS(Data!$A:$A,"="&amp;$D$18,Data!$C:$C,"="&amp;B33,Data!$D:$D,"="&amp;Pass2)</f>
        <v>0</v>
      </c>
      <c r="N33" s="3">
        <f>COUNTIFS(Data!$A:$A,"="&amp;$D$18,Data!$C:$C,"="&amp;B33,Data!$D:$D,"="&amp;Pass1)</f>
        <v>0</v>
      </c>
      <c r="O33" s="3">
        <f>COUNTIFS(Data!$A:$A,"="&amp;$D$18,Data!$C:$C,"="&amp;B33,Data!$D:$D,"="&amp;Pass0)</f>
        <v>0</v>
      </c>
      <c r="P33" s="46">
        <f t="shared" si="7"/>
        <v>0</v>
      </c>
      <c r="Q33" s="14">
        <f>COUNTIFS(Data!$A:$A,"="&amp;$D$18,Data!$C:$C,"="&amp;$B33,Data!$D:$D,"="&amp;KillAttempt)</f>
        <v>0</v>
      </c>
      <c r="R33" s="3">
        <f>COUNTIFS(Data!$A:$A,"="&amp;$D$18,Data!$C:$C,"="&amp;$B33,Data!$D:$D,"="&amp;KillSuccess)</f>
        <v>0</v>
      </c>
      <c r="S33" s="8">
        <f>COUNTIFS(Data!$A:$A,"="&amp;$D$18,Data!$C:$C,"="&amp;$B33,Data!$D:$D,"="&amp;KillError)</f>
        <v>0</v>
      </c>
      <c r="T33" s="49">
        <f t="shared" si="8"/>
        <v>0</v>
      </c>
      <c r="U33" s="14">
        <f>COUNTIFS(Data!$A:$A,"="&amp;$D$18,Data!$C:$C,"="&amp;$B33,Data!$D:$D,"="&amp;AssistZero)</f>
        <v>0</v>
      </c>
      <c r="V33" s="3">
        <f>COUNTIFS(Data!$A:$A,"="&amp;$D$18,Data!$C:$C,"="&amp;$B33,Data!$D:$D,"="&amp;AssistSuccess)</f>
        <v>0</v>
      </c>
      <c r="W33" s="3">
        <f>COUNTIFS(Data!$A:$A,"="&amp;$D$18,Data!$C:$C,"="&amp;$B33,Data!$D:$D,"="&amp;AssistError)</f>
        <v>0</v>
      </c>
      <c r="X33" s="50">
        <f t="shared" si="5"/>
        <v>0</v>
      </c>
      <c r="Y33" s="14">
        <f>COUNTIFS(Data!$A:$A,"="&amp;$D$18,Data!$C:$C,"="&amp;$B33,Data!$D:$D,"="&amp;BlockHalf)</f>
        <v>0</v>
      </c>
      <c r="Z33" s="3">
        <f>COUNTIFS(Data!$A:$A,"="&amp;$D$18,Data!$C:$C,"="&amp;$B33,Data!$D:$D,"="&amp;BlockSolo)</f>
        <v>0</v>
      </c>
      <c r="AA33" s="51">
        <f t="shared" si="9"/>
        <v>0</v>
      </c>
      <c r="AB33" s="14" cm="1">
        <f t="array" ref="AB33">COUNTIFS(Data!$A:$A,"="&amp;$D$18,Data!$C:$C,"="&amp;$B33,Data!$D:$D,"="&amp;BlockKillHalf)</f>
        <v>0</v>
      </c>
      <c r="AC33" s="3">
        <f>COUNTIFS(Data!$A:$A,"="&amp;$D$18,Data!$C:$C,"="&amp;$B33,Data!$D:$D,"="&amp;BlockKillSolo)</f>
        <v>0</v>
      </c>
      <c r="AD33" s="51">
        <f t="shared" si="10"/>
        <v>0</v>
      </c>
      <c r="AE33" s="20">
        <f>COUNTIFS(Data!$A:$A,"="&amp;$D$18,Data!$C:$C,"="&amp;$B33,Data!$D:$D,"="&amp;GeneralError)</f>
        <v>0</v>
      </c>
    </row>
    <row r="34" spans="2:31" x14ac:dyDescent="0.2">
      <c r="B34" t="str">
        <f>Legend!A15</f>
        <v>t</v>
      </c>
      <c r="C34" s="24" t="str">
        <f>Legend!B15&amp;" - "&amp;Legend!C15</f>
        <v>6 - Tom</v>
      </c>
      <c r="D34" s="14">
        <f>COUNTIFS(Data!$A:$A,"="&amp;$D$18,Data!$C:$C,"="&amp;B34,Data!$D:$D,"="&amp;ServeIn)</f>
        <v>0</v>
      </c>
      <c r="E34" s="3">
        <f>COUNTIFS(Data!$A:$A,"="&amp;$D$18,Data!$C:$C,"="&amp;B34,Data!$D:$D,"="&amp;ServeAce)</f>
        <v>0</v>
      </c>
      <c r="F34" s="8">
        <f>COUNTIFS(Data!$A:$A,"="&amp;$D$18,Data!$C:$C,"="&amp;B34,Data!$D:$D,"="&amp;ServeError)</f>
        <v>0</v>
      </c>
      <c r="G34" s="38">
        <f t="shared" si="6"/>
        <v>0</v>
      </c>
      <c r="H34" s="39">
        <f t="shared" si="3"/>
        <v>0</v>
      </c>
      <c r="I34" s="3">
        <f>COUNTIFS(Data!$A:$A,"="&amp;$D$18,Data!$C:$C,"="&amp;B34,Data!$D:$D,"="&amp;Dig)</f>
        <v>0</v>
      </c>
      <c r="J34" s="3">
        <f>COUNTIFS(Data!$A:$A,"="&amp;$D$18,Data!$C:$C,"="&amp;B34,Data!$D:$D,"="&amp;Cover)</f>
        <v>0</v>
      </c>
      <c r="K34" s="43">
        <f t="shared" si="4"/>
        <v>0</v>
      </c>
      <c r="L34" s="14">
        <f>COUNTIFS(Data!$A:$A,"="&amp;$D$18,Data!$C:$C,"="&amp;B34,Data!$D:$D,"="&amp;Pass3)</f>
        <v>0</v>
      </c>
      <c r="M34" s="3">
        <f>COUNTIFS(Data!$A:$A,"="&amp;$D$18,Data!$C:$C,"="&amp;B34,Data!$D:$D,"="&amp;Pass2)</f>
        <v>0</v>
      </c>
      <c r="N34" s="3">
        <f>COUNTIFS(Data!$A:$A,"="&amp;$D$18,Data!$C:$C,"="&amp;B34,Data!$D:$D,"="&amp;Pass1)</f>
        <v>0</v>
      </c>
      <c r="O34" s="3">
        <f>COUNTIFS(Data!$A:$A,"="&amp;$D$18,Data!$C:$C,"="&amp;B34,Data!$D:$D,"="&amp;Pass0)</f>
        <v>0</v>
      </c>
      <c r="P34" s="46">
        <f t="shared" si="7"/>
        <v>0</v>
      </c>
      <c r="Q34" s="14">
        <f>COUNTIFS(Data!$A:$A,"="&amp;$D$18,Data!$C:$C,"="&amp;$B34,Data!$D:$D,"="&amp;KillAttempt)</f>
        <v>0</v>
      </c>
      <c r="R34" s="3">
        <f>COUNTIFS(Data!$A:$A,"="&amp;$D$18,Data!$C:$C,"="&amp;$B34,Data!$D:$D,"="&amp;KillSuccess)</f>
        <v>0</v>
      </c>
      <c r="S34" s="8">
        <f>COUNTIFS(Data!$A:$A,"="&amp;$D$18,Data!$C:$C,"="&amp;$B34,Data!$D:$D,"="&amp;KillError)</f>
        <v>0</v>
      </c>
      <c r="T34" s="49">
        <f t="shared" si="8"/>
        <v>0</v>
      </c>
      <c r="U34" s="14">
        <f>COUNTIFS(Data!$A:$A,"="&amp;$D$18,Data!$C:$C,"="&amp;$B34,Data!$D:$D,"="&amp;AssistZero)</f>
        <v>0</v>
      </c>
      <c r="V34" s="3">
        <f>COUNTIFS(Data!$A:$A,"="&amp;$D$18,Data!$C:$C,"="&amp;$B34,Data!$D:$D,"="&amp;AssistSuccess)</f>
        <v>0</v>
      </c>
      <c r="W34" s="3">
        <f>COUNTIFS(Data!$A:$A,"="&amp;$D$18,Data!$C:$C,"="&amp;$B34,Data!$D:$D,"="&amp;AssistError)</f>
        <v>0</v>
      </c>
      <c r="X34" s="50">
        <f t="shared" si="5"/>
        <v>0</v>
      </c>
      <c r="Y34" s="14">
        <f>COUNTIFS(Data!$A:$A,"="&amp;$D$18,Data!$C:$C,"="&amp;$B34,Data!$D:$D,"="&amp;BlockHalf)</f>
        <v>0</v>
      </c>
      <c r="Z34" s="3">
        <f>COUNTIFS(Data!$A:$A,"="&amp;$D$18,Data!$C:$C,"="&amp;$B34,Data!$D:$D,"="&amp;BlockSolo)</f>
        <v>0</v>
      </c>
      <c r="AA34" s="51">
        <f t="shared" si="9"/>
        <v>0</v>
      </c>
      <c r="AB34" s="14" cm="1">
        <f t="array" ref="AB34">COUNTIFS(Data!$A:$A,"="&amp;$D$18,Data!$C:$C,"="&amp;$B34,Data!$D:$D,"="&amp;BlockKillHalf)</f>
        <v>0</v>
      </c>
      <c r="AC34" s="3">
        <f>COUNTIFS(Data!$A:$A,"="&amp;$D$18,Data!$C:$C,"="&amp;$B34,Data!$D:$D,"="&amp;BlockKillSolo)</f>
        <v>0</v>
      </c>
      <c r="AD34" s="51">
        <f t="shared" si="10"/>
        <v>0</v>
      </c>
      <c r="AE34" s="20">
        <f>COUNTIFS(Data!$A:$A,"="&amp;$D$18,Data!$C:$C,"="&amp;$B34,Data!$D:$D,"="&amp;GeneralError)</f>
        <v>0</v>
      </c>
    </row>
    <row r="35" spans="2:31" x14ac:dyDescent="0.2">
      <c r="B35" t="str">
        <f>Legend!A16</f>
        <v>z</v>
      </c>
      <c r="C35" s="24" t="str">
        <f>Legend!B16&amp;" - "&amp;Legend!C16</f>
        <v>7 - Zach</v>
      </c>
      <c r="D35" s="14">
        <f>COUNTIFS(Data!$A:$A,"="&amp;$D$18,Data!$C:$C,"="&amp;B35,Data!$D:$D,"="&amp;ServeIn)</f>
        <v>0</v>
      </c>
      <c r="E35" s="3">
        <f>COUNTIFS(Data!$A:$A,"="&amp;$D$18,Data!$C:$C,"="&amp;B35,Data!$D:$D,"="&amp;ServeAce)</f>
        <v>0</v>
      </c>
      <c r="F35" s="8">
        <f>COUNTIFS(Data!$A:$A,"="&amp;$D$18,Data!$C:$C,"="&amp;B35,Data!$D:$D,"="&amp;ServeError)</f>
        <v>0</v>
      </c>
      <c r="G35" s="38">
        <f t="shared" si="6"/>
        <v>0</v>
      </c>
      <c r="H35" s="39">
        <f t="shared" si="3"/>
        <v>0</v>
      </c>
      <c r="I35" s="3">
        <f>COUNTIFS(Data!$A:$A,"="&amp;$D$18,Data!$C:$C,"="&amp;B35,Data!$D:$D,"="&amp;Dig)</f>
        <v>0</v>
      </c>
      <c r="J35" s="3">
        <f>COUNTIFS(Data!$A:$A,"="&amp;$D$18,Data!$C:$C,"="&amp;B35,Data!$D:$D,"="&amp;Cover)</f>
        <v>0</v>
      </c>
      <c r="K35" s="43">
        <f t="shared" si="4"/>
        <v>0</v>
      </c>
      <c r="L35" s="14">
        <f>COUNTIFS(Data!$A:$A,"="&amp;$D$18,Data!$C:$C,"="&amp;B35,Data!$D:$D,"="&amp;Pass3)</f>
        <v>0</v>
      </c>
      <c r="M35" s="3">
        <f>COUNTIFS(Data!$A:$A,"="&amp;$D$18,Data!$C:$C,"="&amp;B35,Data!$D:$D,"="&amp;Pass2)</f>
        <v>0</v>
      </c>
      <c r="N35" s="3">
        <f>COUNTIFS(Data!$A:$A,"="&amp;$D$18,Data!$C:$C,"="&amp;B35,Data!$D:$D,"="&amp;Pass1)</f>
        <v>0</v>
      </c>
      <c r="O35" s="3">
        <f>COUNTIFS(Data!$A:$A,"="&amp;$D$18,Data!$C:$C,"="&amp;B35,Data!$D:$D,"="&amp;Pass0)</f>
        <v>0</v>
      </c>
      <c r="P35" s="46">
        <f t="shared" si="7"/>
        <v>0</v>
      </c>
      <c r="Q35" s="14">
        <f>COUNTIFS(Data!$A:$A,"="&amp;$D$18,Data!$C:$C,"="&amp;$B35,Data!$D:$D,"="&amp;KillAttempt)</f>
        <v>0</v>
      </c>
      <c r="R35" s="3">
        <f>COUNTIFS(Data!$A:$A,"="&amp;$D$18,Data!$C:$C,"="&amp;$B35,Data!$D:$D,"="&amp;KillSuccess)</f>
        <v>0</v>
      </c>
      <c r="S35" s="8">
        <f>COUNTIFS(Data!$A:$A,"="&amp;$D$18,Data!$C:$C,"="&amp;$B35,Data!$D:$D,"="&amp;KillError)</f>
        <v>0</v>
      </c>
      <c r="T35" s="49">
        <f t="shared" si="8"/>
        <v>0</v>
      </c>
      <c r="U35" s="14">
        <f>COUNTIFS(Data!$A:$A,"="&amp;$D$18,Data!$C:$C,"="&amp;$B35,Data!$D:$D,"="&amp;AssistZero)</f>
        <v>0</v>
      </c>
      <c r="V35" s="3">
        <f>COUNTIFS(Data!$A:$A,"="&amp;$D$18,Data!$C:$C,"="&amp;$B35,Data!$D:$D,"="&amp;AssistSuccess)</f>
        <v>0</v>
      </c>
      <c r="W35" s="3">
        <f>COUNTIFS(Data!$A:$A,"="&amp;$D$18,Data!$C:$C,"="&amp;$B35,Data!$D:$D,"="&amp;AssistError)</f>
        <v>0</v>
      </c>
      <c r="X35" s="50">
        <f t="shared" si="5"/>
        <v>0</v>
      </c>
      <c r="Y35" s="14">
        <f>COUNTIFS(Data!$A:$A,"="&amp;$D$18,Data!$C:$C,"="&amp;$B35,Data!$D:$D,"="&amp;BlockHalf)</f>
        <v>0</v>
      </c>
      <c r="Z35" s="3">
        <f>COUNTIFS(Data!$A:$A,"="&amp;$D$18,Data!$C:$C,"="&amp;$B35,Data!$D:$D,"="&amp;BlockSolo)</f>
        <v>0</v>
      </c>
      <c r="AA35" s="51">
        <f t="shared" si="9"/>
        <v>0</v>
      </c>
      <c r="AB35" s="14" cm="1">
        <f t="array" ref="AB35">COUNTIFS(Data!$A:$A,"="&amp;$D$18,Data!$C:$C,"="&amp;$B35,Data!$D:$D,"="&amp;BlockKillHalf)</f>
        <v>0</v>
      </c>
      <c r="AC35" s="3">
        <f>COUNTIFS(Data!$A:$A,"="&amp;$D$18,Data!$C:$C,"="&amp;$B35,Data!$D:$D,"="&amp;BlockKillSolo)</f>
        <v>0</v>
      </c>
      <c r="AD35" s="51">
        <f t="shared" si="10"/>
        <v>0</v>
      </c>
      <c r="AE35" s="20">
        <f>COUNTIFS(Data!$A:$A,"="&amp;$D$18,Data!$C:$C,"="&amp;$B35,Data!$D:$D,"="&amp;GeneralError)</f>
        <v>0</v>
      </c>
    </row>
    <row r="36" spans="2:31" x14ac:dyDescent="0.2">
      <c r="B36" t="str">
        <f>Legend!A17</f>
        <v>b</v>
      </c>
      <c r="C36" s="24" t="str">
        <f>Legend!B17&amp;" - "&amp;Legend!C17</f>
        <v>11 - Bodhi</v>
      </c>
      <c r="D36" s="14">
        <f>COUNTIFS(Data!$A:$A,"="&amp;$D$18,Data!$C:$C,"="&amp;B36,Data!$D:$D,"="&amp;ServeIn)</f>
        <v>0</v>
      </c>
      <c r="E36" s="3">
        <f>COUNTIFS(Data!$A:$A,"="&amp;$D$18,Data!$C:$C,"="&amp;B36,Data!$D:$D,"="&amp;ServeAce)</f>
        <v>0</v>
      </c>
      <c r="F36" s="8">
        <f>COUNTIFS(Data!$A:$A,"="&amp;$D$18,Data!$C:$C,"="&amp;B36,Data!$D:$D,"="&amp;ServeError)</f>
        <v>0</v>
      </c>
      <c r="G36" s="38">
        <f t="shared" si="6"/>
        <v>0</v>
      </c>
      <c r="H36" s="39">
        <f t="shared" si="3"/>
        <v>0</v>
      </c>
      <c r="I36" s="3">
        <f>COUNTIFS(Data!$A:$A,"="&amp;$D$18,Data!$C:$C,"="&amp;B36,Data!$D:$D,"="&amp;Dig)</f>
        <v>0</v>
      </c>
      <c r="J36" s="3">
        <f>COUNTIFS(Data!$A:$A,"="&amp;$D$18,Data!$C:$C,"="&amp;B36,Data!$D:$D,"="&amp;Cover)</f>
        <v>0</v>
      </c>
      <c r="K36" s="43">
        <f t="shared" si="4"/>
        <v>0</v>
      </c>
      <c r="L36" s="14">
        <f>COUNTIFS(Data!$A:$A,"="&amp;$D$18,Data!$C:$C,"="&amp;B36,Data!$D:$D,"="&amp;Pass3)</f>
        <v>0</v>
      </c>
      <c r="M36" s="3">
        <f>COUNTIFS(Data!$A:$A,"="&amp;$D$18,Data!$C:$C,"="&amp;B36,Data!$D:$D,"="&amp;Pass2)</f>
        <v>0</v>
      </c>
      <c r="N36" s="3">
        <f>COUNTIFS(Data!$A:$A,"="&amp;$D$18,Data!$C:$C,"="&amp;B36,Data!$D:$D,"="&amp;Pass1)</f>
        <v>0</v>
      </c>
      <c r="O36" s="3">
        <f>COUNTIFS(Data!$A:$A,"="&amp;$D$18,Data!$C:$C,"="&amp;B36,Data!$D:$D,"="&amp;Pass0)</f>
        <v>0</v>
      </c>
      <c r="P36" s="46">
        <f t="shared" si="7"/>
        <v>0</v>
      </c>
      <c r="Q36" s="14">
        <f>COUNTIFS(Data!$A:$A,"="&amp;$D$18,Data!$C:$C,"="&amp;$B36,Data!$D:$D,"="&amp;KillAttempt)</f>
        <v>0</v>
      </c>
      <c r="R36" s="3">
        <f>COUNTIFS(Data!$A:$A,"="&amp;$D$18,Data!$C:$C,"="&amp;$B36,Data!$D:$D,"="&amp;KillSuccess)</f>
        <v>0</v>
      </c>
      <c r="S36" s="8">
        <f>COUNTIFS(Data!$A:$A,"="&amp;$D$18,Data!$C:$C,"="&amp;$B36,Data!$D:$D,"="&amp;KillError)</f>
        <v>0</v>
      </c>
      <c r="T36" s="49">
        <f t="shared" si="8"/>
        <v>0</v>
      </c>
      <c r="U36" s="14">
        <f>COUNTIFS(Data!$A:$A,"="&amp;$D$18,Data!$C:$C,"="&amp;$B36,Data!$D:$D,"="&amp;AssistZero)</f>
        <v>0</v>
      </c>
      <c r="V36" s="3">
        <f>COUNTIFS(Data!$A:$A,"="&amp;$D$18,Data!$C:$C,"="&amp;$B36,Data!$D:$D,"="&amp;AssistSuccess)</f>
        <v>0</v>
      </c>
      <c r="W36" s="3">
        <f>COUNTIFS(Data!$A:$A,"="&amp;$D$18,Data!$C:$C,"="&amp;$B36,Data!$D:$D,"="&amp;AssistError)</f>
        <v>0</v>
      </c>
      <c r="X36" s="50">
        <f t="shared" si="5"/>
        <v>0</v>
      </c>
      <c r="Y36" s="14">
        <f>COUNTIFS(Data!$A:$A,"="&amp;$D$18,Data!$C:$C,"="&amp;$B36,Data!$D:$D,"="&amp;BlockHalf)</f>
        <v>0</v>
      </c>
      <c r="Z36" s="3">
        <f>COUNTIFS(Data!$A:$A,"="&amp;$D$18,Data!$C:$C,"="&amp;$B36,Data!$D:$D,"="&amp;BlockSolo)</f>
        <v>0</v>
      </c>
      <c r="AA36" s="51">
        <f t="shared" si="9"/>
        <v>0</v>
      </c>
      <c r="AB36" s="14" cm="1">
        <f t="array" ref="AB36">COUNTIFS(Data!$A:$A,"="&amp;$D$18,Data!$C:$C,"="&amp;$B36,Data!$D:$D,"="&amp;BlockKillHalf)</f>
        <v>0</v>
      </c>
      <c r="AC36" s="3">
        <f>COUNTIFS(Data!$A:$A,"="&amp;$D$18,Data!$C:$C,"="&amp;$B36,Data!$D:$D,"="&amp;BlockKillSolo)</f>
        <v>0</v>
      </c>
      <c r="AD36" s="51">
        <f t="shared" si="10"/>
        <v>0</v>
      </c>
      <c r="AE36" s="20">
        <f>COUNTIFS(Data!$A:$A,"="&amp;$D$18,Data!$C:$C,"="&amp;$B36,Data!$D:$D,"="&amp;GeneralError)</f>
        <v>0</v>
      </c>
    </row>
    <row r="37" spans="2:31" x14ac:dyDescent="0.2">
      <c r="B37" t="str">
        <f>Legend!A18</f>
        <v>k</v>
      </c>
      <c r="C37" s="24" t="str">
        <f>Legend!B18&amp;" - "&amp;Legend!C18</f>
        <v>12 - Kaito</v>
      </c>
      <c r="D37" s="14">
        <f>COUNTIFS(Data!$A:$A,"="&amp;$D$18,Data!$C:$C,"="&amp;B37,Data!$D:$D,"="&amp;ServeIn)</f>
        <v>0</v>
      </c>
      <c r="E37" s="3">
        <f>COUNTIFS(Data!$A:$A,"="&amp;$D$18,Data!$C:$C,"="&amp;B37,Data!$D:$D,"="&amp;ServeAce)</f>
        <v>0</v>
      </c>
      <c r="F37" s="8">
        <f>COUNTIFS(Data!$A:$A,"="&amp;$D$18,Data!$C:$C,"="&amp;B37,Data!$D:$D,"="&amp;ServeError)</f>
        <v>0</v>
      </c>
      <c r="G37" s="38">
        <f t="shared" si="6"/>
        <v>0</v>
      </c>
      <c r="H37" s="39">
        <f t="shared" si="3"/>
        <v>0</v>
      </c>
      <c r="I37" s="3">
        <f>COUNTIFS(Data!$A:$A,"="&amp;$D$18,Data!$C:$C,"="&amp;B37,Data!$D:$D,"="&amp;Dig)</f>
        <v>0</v>
      </c>
      <c r="J37" s="3">
        <f>COUNTIFS(Data!$A:$A,"="&amp;$D$18,Data!$C:$C,"="&amp;B37,Data!$D:$D,"="&amp;Cover)</f>
        <v>0</v>
      </c>
      <c r="K37" s="43">
        <f t="shared" si="4"/>
        <v>0</v>
      </c>
      <c r="L37" s="14">
        <f>COUNTIFS(Data!$A:$A,"="&amp;$D$18,Data!$C:$C,"="&amp;B37,Data!$D:$D,"="&amp;Pass3)</f>
        <v>0</v>
      </c>
      <c r="M37" s="3">
        <f>COUNTIFS(Data!$A:$A,"="&amp;$D$18,Data!$C:$C,"="&amp;B37,Data!$D:$D,"="&amp;Pass2)</f>
        <v>0</v>
      </c>
      <c r="N37" s="3">
        <f>COUNTIFS(Data!$A:$A,"="&amp;$D$18,Data!$C:$C,"="&amp;B37,Data!$D:$D,"="&amp;Pass1)</f>
        <v>0</v>
      </c>
      <c r="O37" s="3">
        <f>COUNTIFS(Data!$A:$A,"="&amp;$D$18,Data!$C:$C,"="&amp;B37,Data!$D:$D,"="&amp;Pass0)</f>
        <v>0</v>
      </c>
      <c r="P37" s="46">
        <f t="shared" si="7"/>
        <v>0</v>
      </c>
      <c r="Q37" s="14">
        <f>COUNTIFS(Data!$A:$A,"="&amp;$D$18,Data!$C:$C,"="&amp;$B37,Data!$D:$D,"="&amp;KillAttempt)</f>
        <v>0</v>
      </c>
      <c r="R37" s="3">
        <f>COUNTIFS(Data!$A:$A,"="&amp;$D$18,Data!$C:$C,"="&amp;$B37,Data!$D:$D,"="&amp;KillSuccess)</f>
        <v>0</v>
      </c>
      <c r="S37" s="8">
        <f>COUNTIFS(Data!$A:$A,"="&amp;$D$18,Data!$C:$C,"="&amp;$B37,Data!$D:$D,"="&amp;KillError)</f>
        <v>0</v>
      </c>
      <c r="T37" s="49">
        <f t="shared" si="8"/>
        <v>0</v>
      </c>
      <c r="U37" s="14">
        <f>COUNTIFS(Data!$A:$A,"="&amp;$D$18,Data!$C:$C,"="&amp;$B37,Data!$D:$D,"="&amp;AssistZero)</f>
        <v>0</v>
      </c>
      <c r="V37" s="3">
        <f>COUNTIFS(Data!$A:$A,"="&amp;$D$18,Data!$C:$C,"="&amp;$B37,Data!$D:$D,"="&amp;AssistSuccess)</f>
        <v>0</v>
      </c>
      <c r="W37" s="3">
        <f>COUNTIFS(Data!$A:$A,"="&amp;$D$18,Data!$C:$C,"="&amp;$B37,Data!$D:$D,"="&amp;AssistError)</f>
        <v>0</v>
      </c>
      <c r="X37" s="50">
        <f t="shared" si="5"/>
        <v>0</v>
      </c>
      <c r="Y37" s="14">
        <f>COUNTIFS(Data!$A:$A,"="&amp;$D$18,Data!$C:$C,"="&amp;$B37,Data!$D:$D,"="&amp;BlockHalf)</f>
        <v>0</v>
      </c>
      <c r="Z37" s="3">
        <f>COUNTIFS(Data!$A:$A,"="&amp;$D$18,Data!$C:$C,"="&amp;$B37,Data!$D:$D,"="&amp;BlockSolo)</f>
        <v>0</v>
      </c>
      <c r="AA37" s="51">
        <f t="shared" si="9"/>
        <v>0</v>
      </c>
      <c r="AB37" s="14" cm="1">
        <f t="array" ref="AB37">COUNTIFS(Data!$A:$A,"="&amp;$D$18,Data!$C:$C,"="&amp;$B37,Data!$D:$D,"="&amp;BlockKillHalf)</f>
        <v>0</v>
      </c>
      <c r="AC37" s="3">
        <f>COUNTIFS(Data!$A:$A,"="&amp;$D$18,Data!$C:$C,"="&amp;$B37,Data!$D:$D,"="&amp;BlockKillSolo)</f>
        <v>0</v>
      </c>
      <c r="AD37" s="51">
        <f t="shared" si="10"/>
        <v>0</v>
      </c>
      <c r="AE37" s="20">
        <f>COUNTIFS(Data!$A:$A,"="&amp;$D$18,Data!$C:$C,"="&amp;$B37,Data!$D:$D,"="&amp;GeneralError)</f>
        <v>0</v>
      </c>
    </row>
    <row r="38" spans="2:31" x14ac:dyDescent="0.2">
      <c r="B38" t="str">
        <f>Legend!A19</f>
        <v>h</v>
      </c>
      <c r="C38" s="24" t="str">
        <f>Legend!B19&amp;" - "&amp;Legend!C19</f>
        <v>13 - Hayden</v>
      </c>
      <c r="D38" s="14">
        <f>COUNTIFS(Data!$A:$A,"="&amp;$D$18,Data!$C:$C,"="&amp;B38,Data!$D:$D,"="&amp;ServeIn)</f>
        <v>0</v>
      </c>
      <c r="E38" s="3">
        <f>COUNTIFS(Data!$A:$A,"="&amp;$D$18,Data!$C:$C,"="&amp;B38,Data!$D:$D,"="&amp;ServeAce)</f>
        <v>0</v>
      </c>
      <c r="F38" s="8">
        <f>COUNTIFS(Data!$A:$A,"="&amp;$D$18,Data!$C:$C,"="&amp;B38,Data!$D:$D,"="&amp;ServeError)</f>
        <v>0</v>
      </c>
      <c r="G38" s="38">
        <f t="shared" si="6"/>
        <v>0</v>
      </c>
      <c r="H38" s="39">
        <f t="shared" si="3"/>
        <v>0</v>
      </c>
      <c r="I38" s="3">
        <f>COUNTIFS(Data!$A:$A,"="&amp;$D$18,Data!$C:$C,"="&amp;B38,Data!$D:$D,"="&amp;Dig)</f>
        <v>0</v>
      </c>
      <c r="J38" s="3">
        <f>COUNTIFS(Data!$A:$A,"="&amp;$D$18,Data!$C:$C,"="&amp;B38,Data!$D:$D,"="&amp;Cover)</f>
        <v>0</v>
      </c>
      <c r="K38" s="43">
        <f t="shared" si="4"/>
        <v>0</v>
      </c>
      <c r="L38" s="14">
        <f>COUNTIFS(Data!$A:$A,"="&amp;$D$18,Data!$C:$C,"="&amp;B38,Data!$D:$D,"="&amp;Pass3)</f>
        <v>0</v>
      </c>
      <c r="M38" s="3">
        <f>COUNTIFS(Data!$A:$A,"="&amp;$D$18,Data!$C:$C,"="&amp;B38,Data!$D:$D,"="&amp;Pass2)</f>
        <v>0</v>
      </c>
      <c r="N38" s="3">
        <f>COUNTIFS(Data!$A:$A,"="&amp;$D$18,Data!$C:$C,"="&amp;B38,Data!$D:$D,"="&amp;Pass1)</f>
        <v>0</v>
      </c>
      <c r="O38" s="3">
        <f>COUNTIFS(Data!$A:$A,"="&amp;$D$18,Data!$C:$C,"="&amp;B38,Data!$D:$D,"="&amp;Pass0)</f>
        <v>0</v>
      </c>
      <c r="P38" s="46">
        <f t="shared" si="7"/>
        <v>0</v>
      </c>
      <c r="Q38" s="14">
        <f>COUNTIFS(Data!$A:$A,"="&amp;$D$18,Data!$C:$C,"="&amp;$B38,Data!$D:$D,"="&amp;KillAttempt)</f>
        <v>0</v>
      </c>
      <c r="R38" s="3">
        <f>COUNTIFS(Data!$A:$A,"="&amp;$D$18,Data!$C:$C,"="&amp;$B38,Data!$D:$D,"="&amp;KillSuccess)</f>
        <v>0</v>
      </c>
      <c r="S38" s="8">
        <f>COUNTIFS(Data!$A:$A,"="&amp;$D$18,Data!$C:$C,"="&amp;$B38,Data!$D:$D,"="&amp;KillError)</f>
        <v>0</v>
      </c>
      <c r="T38" s="49">
        <f t="shared" si="8"/>
        <v>0</v>
      </c>
      <c r="U38" s="14">
        <f>COUNTIFS(Data!$A:$A,"="&amp;$D$18,Data!$C:$C,"="&amp;$B38,Data!$D:$D,"="&amp;AssistZero)</f>
        <v>0</v>
      </c>
      <c r="V38" s="3">
        <f>COUNTIFS(Data!$A:$A,"="&amp;$D$18,Data!$C:$C,"="&amp;$B38,Data!$D:$D,"="&amp;AssistSuccess)</f>
        <v>0</v>
      </c>
      <c r="W38" s="3">
        <f>COUNTIFS(Data!$A:$A,"="&amp;$D$18,Data!$C:$C,"="&amp;$B38,Data!$D:$D,"="&amp;AssistError)</f>
        <v>0</v>
      </c>
      <c r="X38" s="50">
        <f t="shared" si="5"/>
        <v>0</v>
      </c>
      <c r="Y38" s="14">
        <f>COUNTIFS(Data!$A:$A,"="&amp;$D$18,Data!$C:$C,"="&amp;$B38,Data!$D:$D,"="&amp;BlockHalf)</f>
        <v>0</v>
      </c>
      <c r="Z38" s="3">
        <f>COUNTIFS(Data!$A:$A,"="&amp;$D$18,Data!$C:$C,"="&amp;$B38,Data!$D:$D,"="&amp;BlockSolo)</f>
        <v>0</v>
      </c>
      <c r="AA38" s="51">
        <f t="shared" si="9"/>
        <v>0</v>
      </c>
      <c r="AB38" s="14" cm="1">
        <f t="array" ref="AB38">COUNTIFS(Data!$A:$A,"="&amp;$D$18,Data!$C:$C,"="&amp;$B38,Data!$D:$D,"="&amp;BlockKillHalf)</f>
        <v>0</v>
      </c>
      <c r="AC38" s="3">
        <f>COUNTIFS(Data!$A:$A,"="&amp;$D$18,Data!$C:$C,"="&amp;$B38,Data!$D:$D,"="&amp;BlockKillSolo)</f>
        <v>0</v>
      </c>
      <c r="AD38" s="51">
        <f t="shared" si="10"/>
        <v>0</v>
      </c>
      <c r="AE38" s="20">
        <f>COUNTIFS(Data!$A:$A,"="&amp;$D$18,Data!$C:$C,"="&amp;$B38,Data!$D:$D,"="&amp;GeneralError)</f>
        <v>0</v>
      </c>
    </row>
    <row r="39" spans="2:31" x14ac:dyDescent="0.2">
      <c r="B39" t="str">
        <f>Legend!A20</f>
        <v>j</v>
      </c>
      <c r="C39" s="25" t="str">
        <f>Legend!B20&amp;" - "&amp;Legend!C20</f>
        <v>23 - Jayden</v>
      </c>
      <c r="D39" s="18">
        <f>COUNTIFS(Data!$A:$A,"="&amp;$D$18,Data!$C:$C,"="&amp;B39,Data!$D:$D,"="&amp;ServeIn)</f>
        <v>0</v>
      </c>
      <c r="E39" s="6">
        <f>COUNTIFS(Data!$A:$A,"="&amp;$D$18,Data!$C:$C,"="&amp;B39,Data!$D:$D,"="&amp;ServeAce)</f>
        <v>0</v>
      </c>
      <c r="F39" s="9">
        <f>COUNTIFS(Data!$A:$A,"="&amp;$D$18,Data!$C:$C,"="&amp;B39,Data!$D:$D,"="&amp;ServeError)</f>
        <v>0</v>
      </c>
      <c r="G39" s="38">
        <f t="shared" si="6"/>
        <v>0</v>
      </c>
      <c r="H39" s="39">
        <f t="shared" si="3"/>
        <v>0</v>
      </c>
      <c r="I39" s="3">
        <f>COUNTIFS(Data!$A:$A,"="&amp;$D$18,Data!$C:$C,"="&amp;B39,Data!$D:$D,"="&amp;Dig)</f>
        <v>0</v>
      </c>
      <c r="J39" s="3">
        <f>COUNTIFS(Data!$A:$A,"="&amp;$D$18,Data!$C:$C,"="&amp;B39,Data!$D:$D,"="&amp;Cover)</f>
        <v>0</v>
      </c>
      <c r="K39" s="43">
        <f t="shared" si="4"/>
        <v>0</v>
      </c>
      <c r="L39" s="14">
        <f>COUNTIFS(Data!$A:$A,"="&amp;$D$18,Data!$C:$C,"="&amp;B39,Data!$D:$D,"="&amp;Pass3)</f>
        <v>0</v>
      </c>
      <c r="M39" s="3">
        <f>COUNTIFS(Data!$A:$A,"="&amp;$D$18,Data!$C:$C,"="&amp;B39,Data!$D:$D,"="&amp;Pass2)</f>
        <v>0</v>
      </c>
      <c r="N39" s="3">
        <f>COUNTIFS(Data!$A:$A,"="&amp;$D$18,Data!$C:$C,"="&amp;B39,Data!$D:$D,"="&amp;Pass1)</f>
        <v>0</v>
      </c>
      <c r="O39" s="3">
        <f>COUNTIFS(Data!$A:$A,"="&amp;$D$18,Data!$C:$C,"="&amp;B39,Data!$D:$D,"="&amp;Pass0)</f>
        <v>0</v>
      </c>
      <c r="P39" s="46">
        <f t="shared" si="7"/>
        <v>0</v>
      </c>
      <c r="Q39" s="14">
        <f>COUNTIFS(Data!$A:$A,"="&amp;$D$18,Data!$C:$C,"="&amp;$B39,Data!$D:$D,"="&amp;KillAttempt)</f>
        <v>0</v>
      </c>
      <c r="R39" s="3">
        <f>COUNTIFS(Data!$A:$A,"="&amp;$D$18,Data!$C:$C,"="&amp;$B39,Data!$D:$D,"="&amp;KillSuccess)</f>
        <v>0</v>
      </c>
      <c r="S39" s="8">
        <f>COUNTIFS(Data!$A:$A,"="&amp;$D$18,Data!$C:$C,"="&amp;$B39,Data!$D:$D,"="&amp;KillError)</f>
        <v>0</v>
      </c>
      <c r="T39" s="49">
        <f t="shared" si="8"/>
        <v>0</v>
      </c>
      <c r="U39" s="14">
        <f>COUNTIFS(Data!$A:$A,"="&amp;$D$18,Data!$C:$C,"="&amp;$B39,Data!$D:$D,"="&amp;AssistZero)</f>
        <v>0</v>
      </c>
      <c r="V39" s="3">
        <f>COUNTIFS(Data!$A:$A,"="&amp;$D$18,Data!$C:$C,"="&amp;$B39,Data!$D:$D,"="&amp;AssistSuccess)</f>
        <v>0</v>
      </c>
      <c r="W39" s="3">
        <f>COUNTIFS(Data!$A:$A,"="&amp;$D$18,Data!$C:$C,"="&amp;$B39,Data!$D:$D,"="&amp;AssistError)</f>
        <v>0</v>
      </c>
      <c r="X39" s="50">
        <f t="shared" si="5"/>
        <v>0</v>
      </c>
      <c r="Y39" s="14">
        <f>COUNTIFS(Data!$A:$A,"="&amp;$D$18,Data!$C:$C,"="&amp;$B39,Data!$D:$D,"="&amp;BlockHalf)</f>
        <v>0</v>
      </c>
      <c r="Z39" s="3">
        <f>COUNTIFS(Data!$A:$A,"="&amp;$D$18,Data!$C:$C,"="&amp;$B39,Data!$D:$D,"="&amp;BlockSolo)</f>
        <v>0</v>
      </c>
      <c r="AA39" s="51">
        <f t="shared" si="9"/>
        <v>0</v>
      </c>
      <c r="AB39" s="14" cm="1">
        <f t="array" ref="AB39">COUNTIFS(Data!$A:$A,"="&amp;$D$18,Data!$C:$C,"="&amp;$B39,Data!$D:$D,"="&amp;BlockKillHalf)</f>
        <v>0</v>
      </c>
      <c r="AC39" s="3">
        <f>COUNTIFS(Data!$A:$A,"="&amp;$D$18,Data!$C:$C,"="&amp;$B39,Data!$D:$D,"="&amp;BlockKillSolo)</f>
        <v>0</v>
      </c>
      <c r="AD39" s="51">
        <f t="shared" si="10"/>
        <v>0</v>
      </c>
      <c r="AE39" s="20">
        <f>COUNTIFS(Data!$A:$A,"="&amp;$D$18,Data!$C:$C,"="&amp;$B39,Data!$D:$D,"="&amp;GeneralError)</f>
        <v>0</v>
      </c>
    </row>
    <row r="40" spans="2:31" ht="17" thickBot="1" x14ac:dyDescent="0.25">
      <c r="B40" t="str">
        <f>Legend!A25</f>
        <v>tt</v>
      </c>
      <c r="C40" s="75" t="str">
        <f>Legend!C25</f>
        <v>Team</v>
      </c>
      <c r="D40" s="76"/>
      <c r="E40" s="77"/>
      <c r="F40" s="77"/>
      <c r="G40" s="78"/>
      <c r="H40" s="79"/>
      <c r="I40" s="77"/>
      <c r="J40" s="77"/>
      <c r="K40" s="80"/>
      <c r="L40" s="76"/>
      <c r="M40" s="77"/>
      <c r="N40" s="77"/>
      <c r="O40" s="77"/>
      <c r="P40" s="81"/>
      <c r="Q40" s="76"/>
      <c r="R40" s="77"/>
      <c r="S40" s="82"/>
      <c r="T40" s="83"/>
      <c r="U40" s="76"/>
      <c r="V40" s="77"/>
      <c r="W40" s="77"/>
      <c r="X40" s="80"/>
      <c r="Y40" s="77"/>
      <c r="Z40" s="77"/>
      <c r="AA40" s="77"/>
      <c r="AB40" s="76"/>
      <c r="AC40" s="77"/>
      <c r="AD40" s="80"/>
      <c r="AE40" s="84">
        <f>COUNTIFS(Data!$A:$A,"="&amp;$D$18,Data!$C:$C,"="&amp;$B40,Data!$D:$D,"="&amp;GeneralError)</f>
        <v>0</v>
      </c>
    </row>
    <row r="42" spans="2:31" ht="15.75" customHeight="1" x14ac:dyDescent="0.2">
      <c r="D42" s="298" t="s">
        <v>89</v>
      </c>
      <c r="E42" s="298"/>
      <c r="F42" s="298"/>
      <c r="G42" s="298"/>
      <c r="H42" s="298"/>
      <c r="I42" s="298"/>
      <c r="J42" s="298"/>
      <c r="K42" s="298"/>
      <c r="L42" s="303" t="s">
        <v>90</v>
      </c>
      <c r="M42" s="303"/>
      <c r="N42" s="303"/>
      <c r="O42" s="303"/>
      <c r="P42" s="303"/>
      <c r="Q42" s="302" t="s">
        <v>91</v>
      </c>
      <c r="R42" s="300" t="s">
        <v>92</v>
      </c>
      <c r="S42" s="300"/>
      <c r="T42" s="300"/>
      <c r="U42" s="57" t="s">
        <v>93</v>
      </c>
      <c r="V42" s="57"/>
      <c r="W42" s="57"/>
      <c r="X42" s="57"/>
      <c r="Y42" s="322" t="s">
        <v>145</v>
      </c>
      <c r="Z42" s="322"/>
      <c r="AA42" s="322"/>
      <c r="AB42" s="322"/>
      <c r="AC42" s="322"/>
      <c r="AD42" s="322"/>
    </row>
    <row r="43" spans="2:31" x14ac:dyDescent="0.2">
      <c r="D43" s="298"/>
      <c r="E43" s="298"/>
      <c r="F43" s="298"/>
      <c r="G43" s="298"/>
      <c r="H43" s="298"/>
      <c r="I43" s="298"/>
      <c r="J43" s="298"/>
      <c r="K43" s="298"/>
      <c r="L43" s="59" t="s">
        <v>94</v>
      </c>
      <c r="M43" s="58"/>
      <c r="N43" s="58"/>
      <c r="O43" s="58"/>
      <c r="P43" s="58"/>
      <c r="Q43" s="302"/>
      <c r="R43" s="301" t="s">
        <v>95</v>
      </c>
      <c r="S43" s="301"/>
      <c r="T43" s="301"/>
      <c r="U43" s="57" t="s">
        <v>96</v>
      </c>
      <c r="V43" s="57"/>
      <c r="W43" s="57"/>
      <c r="X43" s="57"/>
      <c r="Y43" s="322" t="s">
        <v>144</v>
      </c>
      <c r="Z43" s="322"/>
      <c r="AA43" s="322"/>
      <c r="AB43" s="322"/>
      <c r="AC43" s="322"/>
      <c r="AD43" s="322"/>
    </row>
    <row r="44" spans="2:31" ht="16" customHeight="1" x14ac:dyDescent="0.2">
      <c r="D44" s="53" t="s">
        <v>97</v>
      </c>
      <c r="E44" s="54"/>
      <c r="F44" s="55"/>
      <c r="G44" s="55"/>
      <c r="H44" s="55"/>
      <c r="I44" s="55"/>
      <c r="J44" s="55"/>
      <c r="K44" s="55"/>
      <c r="L44" s="58" t="s">
        <v>98</v>
      </c>
      <c r="M44" s="58"/>
      <c r="N44" s="58"/>
      <c r="O44" s="58"/>
      <c r="P44" s="58"/>
      <c r="U44" s="299" t="s">
        <v>99</v>
      </c>
      <c r="V44" s="299"/>
      <c r="W44" s="299"/>
      <c r="X44" s="299"/>
      <c r="Y44" s="323" t="s">
        <v>146</v>
      </c>
      <c r="Z44" s="323"/>
      <c r="AA44" s="323"/>
      <c r="AB44" s="323"/>
      <c r="AC44" s="323"/>
      <c r="AD44" s="323"/>
    </row>
    <row r="45" spans="2:31" x14ac:dyDescent="0.2">
      <c r="L45" s="58" t="s">
        <v>100</v>
      </c>
      <c r="M45" s="58"/>
      <c r="N45" s="58"/>
      <c r="O45" s="58"/>
      <c r="P45" s="58"/>
      <c r="U45" s="299"/>
      <c r="V45" s="299"/>
      <c r="W45" s="299"/>
      <c r="X45" s="299"/>
      <c r="Y45" s="323"/>
      <c r="Z45" s="323"/>
      <c r="AA45" s="323"/>
      <c r="AB45" s="323"/>
      <c r="AC45" s="323"/>
      <c r="AD45" s="323"/>
    </row>
    <row r="46" spans="2:31" x14ac:dyDescent="0.2">
      <c r="U46" s="294" t="s">
        <v>102</v>
      </c>
      <c r="V46" s="295" t="s">
        <v>87</v>
      </c>
      <c r="W46" s="295"/>
      <c r="X46" s="295"/>
      <c r="Y46" s="3"/>
      <c r="Z46" s="3"/>
      <c r="AA46" s="3"/>
      <c r="AB46" s="199"/>
      <c r="AC46" s="199"/>
      <c r="AD46" s="199"/>
    </row>
    <row r="47" spans="2:31" x14ac:dyDescent="0.2">
      <c r="U47" s="294"/>
      <c r="V47" s="296" t="s">
        <v>103</v>
      </c>
      <c r="W47" s="296"/>
      <c r="X47" s="296"/>
      <c r="Y47" s="3"/>
      <c r="Z47" s="3"/>
      <c r="AA47" s="3"/>
    </row>
    <row r="49" spans="4:6" x14ac:dyDescent="0.2">
      <c r="D49"/>
      <c r="E49"/>
      <c r="F49"/>
    </row>
    <row r="50" spans="4:6" x14ac:dyDescent="0.2">
      <c r="D50"/>
      <c r="E50"/>
      <c r="F50"/>
    </row>
    <row r="51" spans="4:6" x14ac:dyDescent="0.2">
      <c r="D51"/>
      <c r="E51"/>
      <c r="F51"/>
    </row>
    <row r="52" spans="4:6" x14ac:dyDescent="0.2">
      <c r="D52"/>
      <c r="E52"/>
      <c r="F52"/>
    </row>
    <row r="53" spans="4:6" x14ac:dyDescent="0.2">
      <c r="D53"/>
      <c r="E53"/>
      <c r="F53"/>
    </row>
    <row r="54" spans="4:6" x14ac:dyDescent="0.2">
      <c r="D54"/>
      <c r="E54"/>
      <c r="F54"/>
    </row>
    <row r="55" spans="4:6" x14ac:dyDescent="0.2">
      <c r="D55"/>
      <c r="E55"/>
      <c r="F55"/>
    </row>
    <row r="56" spans="4:6" x14ac:dyDescent="0.2">
      <c r="D56"/>
      <c r="E56"/>
      <c r="F56"/>
    </row>
    <row r="57" spans="4:6" x14ac:dyDescent="0.2">
      <c r="D57"/>
      <c r="E57"/>
      <c r="F57"/>
    </row>
    <row r="58" spans="4:6" x14ac:dyDescent="0.2">
      <c r="D58"/>
      <c r="E58"/>
      <c r="F58"/>
    </row>
    <row r="59" spans="4:6" x14ac:dyDescent="0.2">
      <c r="D59"/>
      <c r="E59"/>
      <c r="F59"/>
    </row>
    <row r="62" spans="4:6" x14ac:dyDescent="0.2">
      <c r="D62"/>
      <c r="E62"/>
      <c r="F62"/>
    </row>
  </sheetData>
  <mergeCells count="24">
    <mergeCell ref="D42:K43"/>
    <mergeCell ref="L42:P42"/>
    <mergeCell ref="Q42:Q43"/>
    <mergeCell ref="R42:T42"/>
    <mergeCell ref="R43:T43"/>
    <mergeCell ref="D28:H28"/>
    <mergeCell ref="I28:K28"/>
    <mergeCell ref="L28:P28"/>
    <mergeCell ref="Q28:T28"/>
    <mergeCell ref="U28:X28"/>
    <mergeCell ref="D22:H22"/>
    <mergeCell ref="I22:K22"/>
    <mergeCell ref="L22:P22"/>
    <mergeCell ref="Q22:T22"/>
    <mergeCell ref="U22:X22"/>
    <mergeCell ref="Y22:AD22"/>
    <mergeCell ref="Y28:AD28"/>
    <mergeCell ref="U46:U47"/>
    <mergeCell ref="V46:X46"/>
    <mergeCell ref="V47:X47"/>
    <mergeCell ref="Y42:AD42"/>
    <mergeCell ref="Y43:AD43"/>
    <mergeCell ref="Y44:AD45"/>
    <mergeCell ref="U44:X45"/>
  </mergeCells>
  <conditionalFormatting sqref="D19:D20">
    <cfRule type="cellIs" dxfId="45" priority="14" stopIfTrue="1" operator="equal">
      <formula>0</formula>
    </cfRule>
    <cfRule type="top10" dxfId="44" priority="43" rank="1"/>
    <cfRule type="top10" dxfId="43" priority="23" rank="1"/>
  </conditionalFormatting>
  <conditionalFormatting sqref="D40:G40">
    <cfRule type="cellIs" dxfId="42" priority="42" operator="greaterThan">
      <formula>0</formula>
    </cfRule>
  </conditionalFormatting>
  <conditionalFormatting sqref="D26:H26">
    <cfRule type="cellIs" dxfId="41" priority="7" operator="equal">
      <formula>0</formula>
    </cfRule>
  </conditionalFormatting>
  <conditionalFormatting sqref="D24:K25">
    <cfRule type="cellIs" dxfId="40" priority="29" operator="equal">
      <formula>0</formula>
    </cfRule>
  </conditionalFormatting>
  <conditionalFormatting sqref="D30:S40">
    <cfRule type="cellIs" dxfId="39" priority="41" operator="equal">
      <formula>0</formula>
    </cfRule>
  </conditionalFormatting>
  <conditionalFormatting sqref="G24:G26">
    <cfRule type="top10" dxfId="38" priority="28" rank="1"/>
  </conditionalFormatting>
  <conditionalFormatting sqref="G30:G39">
    <cfRule type="top10" dxfId="37" priority="36" rank="1"/>
  </conditionalFormatting>
  <conditionalFormatting sqref="H24:H26">
    <cfRule type="top10" dxfId="36" priority="27" rank="1"/>
  </conditionalFormatting>
  <conditionalFormatting sqref="H30:H39">
    <cfRule type="top10" dxfId="35" priority="35" rank="1"/>
  </conditionalFormatting>
  <conditionalFormatting sqref="K24:K25">
    <cfRule type="top10" dxfId="34" priority="30" rank="1"/>
  </conditionalFormatting>
  <conditionalFormatting sqref="K30:K39">
    <cfRule type="top10" dxfId="33" priority="34" rank="1"/>
  </conditionalFormatting>
  <conditionalFormatting sqref="L24:P24">
    <cfRule type="cellIs" dxfId="32" priority="32" operator="equal">
      <formula>0</formula>
    </cfRule>
  </conditionalFormatting>
  <conditionalFormatting sqref="P24">
    <cfRule type="top10" dxfId="31" priority="31" rank="1"/>
  </conditionalFormatting>
  <conditionalFormatting sqref="P30:P39">
    <cfRule type="top10" dxfId="30" priority="37" rank="1"/>
  </conditionalFormatting>
  <conditionalFormatting sqref="Q24:S26">
    <cfRule type="cellIs" dxfId="29" priority="26" operator="equal">
      <formula>0</formula>
    </cfRule>
  </conditionalFormatting>
  <conditionalFormatting sqref="T24">
    <cfRule type="top10" dxfId="28" priority="12" rank="1"/>
  </conditionalFormatting>
  <conditionalFormatting sqref="T24:T26">
    <cfRule type="cellIs" dxfId="27" priority="13" operator="equal">
      <formula>0</formula>
    </cfRule>
  </conditionalFormatting>
  <conditionalFormatting sqref="T25:T26">
    <cfRule type="top10" dxfId="26" priority="25" rank="1"/>
  </conditionalFormatting>
  <conditionalFormatting sqref="T30:T39">
    <cfRule type="top10" dxfId="25" priority="39" rank="1"/>
  </conditionalFormatting>
  <conditionalFormatting sqref="T30:AE40">
    <cfRule type="cellIs" dxfId="24" priority="40" operator="equal">
      <formula>0</formula>
    </cfRule>
  </conditionalFormatting>
  <conditionalFormatting sqref="U24:AE24">
    <cfRule type="cellIs" dxfId="23" priority="11" operator="equal">
      <formula>0</formula>
    </cfRule>
  </conditionalFormatting>
  <conditionalFormatting sqref="X24">
    <cfRule type="top10" dxfId="22" priority="10" rank="1"/>
  </conditionalFormatting>
  <conditionalFormatting sqref="X30:X39">
    <cfRule type="top10" dxfId="21" priority="33" rank="1"/>
  </conditionalFormatting>
  <conditionalFormatting sqref="AA24">
    <cfRule type="top10" dxfId="20" priority="6" rank="1"/>
    <cfRule type="top10" dxfId="19" priority="5" rank="1"/>
  </conditionalFormatting>
  <conditionalFormatting sqref="AA30:AA39">
    <cfRule type="top10" dxfId="18" priority="4" rank="1"/>
    <cfRule type="top10" dxfId="17" priority="3" rank="1"/>
  </conditionalFormatting>
  <conditionalFormatting sqref="AD24">
    <cfRule type="top10" dxfId="16" priority="24" rank="1"/>
  </conditionalFormatting>
  <conditionalFormatting sqref="AD30:AD39">
    <cfRule type="top10" dxfId="15" priority="38" rank="1"/>
  </conditionalFormatting>
  <conditionalFormatting sqref="AE24:AE26">
    <cfRule type="top10" dxfId="14" priority="8" bottom="1" rank="1"/>
  </conditionalFormatting>
  <conditionalFormatting sqref="AE26">
    <cfRule type="cellIs" dxfId="13" priority="9" operator="equal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T2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F5FC2E-7575-A24F-84F8-14A54DDA7DAF}">
          <x14:formula1>
            <xm:f>Legend!$A$4:$A$8</xm:f>
          </x14:formula1>
          <xm:sqref>D18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99AF-E15D-5F44-95A7-814C7FD0D5D2}">
  <dimension ref="C1:AI15"/>
  <sheetViews>
    <sheetView workbookViewId="0"/>
  </sheetViews>
  <sheetFormatPr baseColWidth="10" defaultRowHeight="16" x14ac:dyDescent="0.2"/>
  <cols>
    <col min="1" max="2" width="3" customWidth="1"/>
    <col min="3" max="5" width="12.33203125" style="3" customWidth="1"/>
    <col min="6" max="17" width="5.83203125" customWidth="1"/>
    <col min="18" max="18" width="5.83203125" hidden="1" customWidth="1"/>
    <col min="19" max="33" width="5.83203125" customWidth="1"/>
  </cols>
  <sheetData>
    <row r="1" spans="3:35" ht="17" thickBot="1" x14ac:dyDescent="0.25"/>
    <row r="2" spans="3:35" ht="17" thickBot="1" x14ac:dyDescent="0.25">
      <c r="C2" s="154"/>
      <c r="D2" s="155"/>
      <c r="E2" s="15"/>
      <c r="F2" s="304" t="s">
        <v>71</v>
      </c>
      <c r="G2" s="305"/>
      <c r="H2" s="305"/>
      <c r="I2" s="306"/>
      <c r="J2" s="307"/>
      <c r="K2" s="308" t="s">
        <v>64</v>
      </c>
      <c r="L2" s="308"/>
      <c r="M2" s="309"/>
      <c r="N2" s="310" t="s">
        <v>72</v>
      </c>
      <c r="O2" s="311"/>
      <c r="P2" s="311"/>
      <c r="Q2" s="311"/>
      <c r="R2" s="312"/>
      <c r="S2" s="313" t="s">
        <v>73</v>
      </c>
      <c r="T2" s="314"/>
      <c r="U2" s="314"/>
      <c r="V2" s="315"/>
      <c r="W2" s="316" t="s">
        <v>74</v>
      </c>
      <c r="X2" s="317"/>
      <c r="Y2" s="317"/>
      <c r="Z2" s="318"/>
      <c r="AA2" s="319" t="s">
        <v>75</v>
      </c>
      <c r="AB2" s="320"/>
      <c r="AC2" s="320"/>
      <c r="AD2" s="320"/>
      <c r="AE2" s="320"/>
      <c r="AF2" s="321"/>
      <c r="AG2" s="15" t="s">
        <v>76</v>
      </c>
    </row>
    <row r="3" spans="3:35" x14ac:dyDescent="0.2">
      <c r="C3" s="154" t="s">
        <v>125</v>
      </c>
      <c r="D3" s="155" t="s">
        <v>126</v>
      </c>
      <c r="E3" s="15" t="s">
        <v>127</v>
      </c>
      <c r="F3" s="200" t="s">
        <v>22</v>
      </c>
      <c r="G3" s="201" t="s">
        <v>78</v>
      </c>
      <c r="H3" s="202" t="s">
        <v>79</v>
      </c>
      <c r="I3" s="203" t="s">
        <v>80</v>
      </c>
      <c r="J3" s="204" t="s">
        <v>81</v>
      </c>
      <c r="K3" s="205" t="s">
        <v>82</v>
      </c>
      <c r="L3" s="202" t="s">
        <v>83</v>
      </c>
      <c r="M3" s="206" t="s">
        <v>80</v>
      </c>
      <c r="N3" s="255" t="s">
        <v>148</v>
      </c>
      <c r="O3" s="201">
        <v>2</v>
      </c>
      <c r="P3" s="201">
        <v>1</v>
      </c>
      <c r="Q3" s="202">
        <v>0</v>
      </c>
      <c r="R3" s="207" t="s">
        <v>84</v>
      </c>
      <c r="S3" s="200" t="s">
        <v>85</v>
      </c>
      <c r="T3" s="201" t="s">
        <v>73</v>
      </c>
      <c r="U3" s="202" t="s">
        <v>79</v>
      </c>
      <c r="V3" s="208" t="s">
        <v>86</v>
      </c>
      <c r="W3" s="200" t="s">
        <v>32</v>
      </c>
      <c r="X3" s="201" t="s">
        <v>87</v>
      </c>
      <c r="Y3" s="202" t="s">
        <v>79</v>
      </c>
      <c r="Z3" s="209" t="s">
        <v>101</v>
      </c>
      <c r="AA3" s="200" t="s">
        <v>140</v>
      </c>
      <c r="AB3" s="202" t="s">
        <v>141</v>
      </c>
      <c r="AC3" s="210" t="s">
        <v>139</v>
      </c>
      <c r="AD3" s="200" t="s">
        <v>132</v>
      </c>
      <c r="AE3" s="202" t="s">
        <v>133</v>
      </c>
      <c r="AF3" s="210" t="s">
        <v>134</v>
      </c>
      <c r="AG3" s="211" t="s">
        <v>79</v>
      </c>
      <c r="AH3" s="4"/>
      <c r="AI3" s="4"/>
    </row>
    <row r="4" spans="3:35" ht="17" thickBot="1" x14ac:dyDescent="0.25">
      <c r="C4" s="218">
        <v>45529</v>
      </c>
      <c r="D4" s="219" t="s">
        <v>70</v>
      </c>
      <c r="E4" s="220"/>
      <c r="F4" s="221">
        <f>'Match Score'!D24</f>
        <v>0</v>
      </c>
      <c r="G4" s="222">
        <f>'Match Score'!E24</f>
        <v>0</v>
      </c>
      <c r="H4" s="223">
        <f>'Match Score'!F24</f>
        <v>0</v>
      </c>
      <c r="I4" s="224">
        <f>'Match Score'!G24</f>
        <v>0</v>
      </c>
      <c r="J4" s="225">
        <f>'Match Score'!H24</f>
        <v>0</v>
      </c>
      <c r="K4" s="221">
        <f>'Match Score'!I24</f>
        <v>0</v>
      </c>
      <c r="L4" s="222">
        <f>'Match Score'!J24</f>
        <v>0</v>
      </c>
      <c r="M4" s="226">
        <f>'Match Score'!K24</f>
        <v>0</v>
      </c>
      <c r="N4" s="270">
        <f>'Match Score'!L24</f>
        <v>0</v>
      </c>
      <c r="O4" s="271">
        <f>'Match Score'!M24</f>
        <v>0</v>
      </c>
      <c r="P4" s="271">
        <f>'Match Score'!N24</f>
        <v>0</v>
      </c>
      <c r="Q4" s="271">
        <f>'Match Score'!O24</f>
        <v>0</v>
      </c>
      <c r="R4" s="227">
        <f>'Match Score'!P24</f>
        <v>0</v>
      </c>
      <c r="S4" s="221">
        <f>'Match Score'!Q24</f>
        <v>0</v>
      </c>
      <c r="T4" s="222">
        <f>'Match Score'!R24</f>
        <v>0</v>
      </c>
      <c r="U4" s="223">
        <f>'Match Score'!S24</f>
        <v>0</v>
      </c>
      <c r="V4" s="228">
        <f>'Match Score'!T24</f>
        <v>0</v>
      </c>
      <c r="W4" s="221">
        <f>'Match Score'!U24</f>
        <v>0</v>
      </c>
      <c r="X4" s="222">
        <f>'Match Score'!V24</f>
        <v>0</v>
      </c>
      <c r="Y4" s="222">
        <f>'Match Score'!W24</f>
        <v>0</v>
      </c>
      <c r="Z4" s="229">
        <f>'Match Score'!X24</f>
        <v>0</v>
      </c>
      <c r="AA4" s="221">
        <f>'Match Score'!Y24</f>
        <v>0</v>
      </c>
      <c r="AB4" s="222">
        <f>'Match Score'!Z24</f>
        <v>0</v>
      </c>
      <c r="AC4" s="230">
        <f>'Match Score'!AA24</f>
        <v>0</v>
      </c>
      <c r="AD4" s="221">
        <f>'Match Score'!AB24</f>
        <v>0</v>
      </c>
      <c r="AE4" s="222">
        <f>'Match Score'!AC24</f>
        <v>0</v>
      </c>
      <c r="AF4" s="230">
        <f>'Match Score'!AD24</f>
        <v>0</v>
      </c>
      <c r="AG4" s="231">
        <f>'Match Score'!AE24</f>
        <v>0</v>
      </c>
      <c r="AH4" s="4"/>
      <c r="AI4" s="4"/>
    </row>
    <row r="5" spans="3:35" ht="18" thickTop="1" thickBot="1" x14ac:dyDescent="0.25">
      <c r="C5" s="274">
        <v>45522</v>
      </c>
      <c r="D5" s="275" t="s">
        <v>152</v>
      </c>
      <c r="E5" s="276" t="s">
        <v>153</v>
      </c>
      <c r="F5" s="277">
        <v>73</v>
      </c>
      <c r="G5" s="278">
        <v>9</v>
      </c>
      <c r="H5" s="279">
        <v>12</v>
      </c>
      <c r="I5" s="280">
        <v>94</v>
      </c>
      <c r="J5" s="281">
        <v>0.87234042553191493</v>
      </c>
      <c r="K5" s="277">
        <v>40</v>
      </c>
      <c r="L5" s="278">
        <v>2</v>
      </c>
      <c r="M5" s="282">
        <v>42</v>
      </c>
      <c r="N5" s="232">
        <v>0.76635514018691586</v>
      </c>
      <c r="O5" s="233">
        <v>0.11214953271028037</v>
      </c>
      <c r="P5" s="233">
        <v>0.10280373831775701</v>
      </c>
      <c r="Q5" s="272">
        <v>1.8691588785046728E-2</v>
      </c>
      <c r="R5" s="283">
        <v>281</v>
      </c>
      <c r="S5" s="277">
        <v>34</v>
      </c>
      <c r="T5" s="278">
        <v>46</v>
      </c>
      <c r="U5" s="279">
        <v>21</v>
      </c>
      <c r="V5" s="284">
        <v>0.24752475247524752</v>
      </c>
      <c r="W5" s="277">
        <v>58</v>
      </c>
      <c r="X5" s="278">
        <v>32</v>
      </c>
      <c r="Y5" s="278">
        <v>7</v>
      </c>
      <c r="Z5" s="285">
        <v>0.32989690721649484</v>
      </c>
      <c r="AA5" s="277">
        <v>14</v>
      </c>
      <c r="AB5" s="278">
        <v>1</v>
      </c>
      <c r="AC5" s="286">
        <v>8</v>
      </c>
      <c r="AD5" s="277">
        <v>12</v>
      </c>
      <c r="AE5" s="278">
        <v>1</v>
      </c>
      <c r="AF5" s="286">
        <v>7</v>
      </c>
      <c r="AG5" s="287">
        <v>15</v>
      </c>
      <c r="AH5" s="4"/>
      <c r="AI5" s="4"/>
    </row>
    <row r="6" spans="3:35" ht="17" thickTop="1" x14ac:dyDescent="0.2">
      <c r="C6" s="238">
        <v>45515</v>
      </c>
      <c r="D6" s="239" t="s">
        <v>151</v>
      </c>
      <c r="E6" s="240" t="s">
        <v>129</v>
      </c>
      <c r="F6" s="241">
        <v>47</v>
      </c>
      <c r="G6" s="242">
        <v>7</v>
      </c>
      <c r="H6" s="243">
        <v>15</v>
      </c>
      <c r="I6" s="244">
        <v>69</v>
      </c>
      <c r="J6" s="245">
        <v>0.78260869565217395</v>
      </c>
      <c r="K6" s="241">
        <v>15</v>
      </c>
      <c r="L6" s="242">
        <v>2</v>
      </c>
      <c r="M6" s="246">
        <v>17</v>
      </c>
      <c r="N6" s="253">
        <v>0.62857142857142856</v>
      </c>
      <c r="O6" s="254">
        <v>0.25714285714285712</v>
      </c>
      <c r="P6" s="254">
        <v>0.11428571428571428</v>
      </c>
      <c r="Q6" s="290">
        <v>0</v>
      </c>
      <c r="R6" s="247">
        <v>176</v>
      </c>
      <c r="S6" s="241">
        <v>33</v>
      </c>
      <c r="T6" s="242">
        <v>33</v>
      </c>
      <c r="U6" s="243">
        <v>8</v>
      </c>
      <c r="V6" s="248">
        <v>0.33783783783783783</v>
      </c>
      <c r="W6" s="241">
        <v>41</v>
      </c>
      <c r="X6" s="242">
        <v>30</v>
      </c>
      <c r="Y6" s="242">
        <v>4</v>
      </c>
      <c r="Z6" s="249">
        <v>0.4</v>
      </c>
      <c r="AA6" s="241">
        <v>14</v>
      </c>
      <c r="AB6" s="242">
        <v>6</v>
      </c>
      <c r="AC6" s="250">
        <v>13</v>
      </c>
      <c r="AD6" s="241">
        <v>0</v>
      </c>
      <c r="AE6" s="242">
        <v>1</v>
      </c>
      <c r="AF6" s="250">
        <v>1</v>
      </c>
      <c r="AG6" s="251">
        <v>13</v>
      </c>
      <c r="AH6" s="4"/>
      <c r="AI6" s="4"/>
    </row>
    <row r="7" spans="3:35" x14ac:dyDescent="0.2">
      <c r="C7" s="169">
        <v>45494</v>
      </c>
      <c r="D7" s="6" t="s">
        <v>70</v>
      </c>
      <c r="E7" s="168" t="s">
        <v>130</v>
      </c>
      <c r="F7" s="256">
        <v>63</v>
      </c>
      <c r="G7" s="71">
        <v>3</v>
      </c>
      <c r="H7" s="257">
        <v>13</v>
      </c>
      <c r="I7" s="258">
        <v>79</v>
      </c>
      <c r="J7" s="259">
        <v>0.83544303797468356</v>
      </c>
      <c r="K7" s="256">
        <v>35</v>
      </c>
      <c r="L7" s="71">
        <v>4</v>
      </c>
      <c r="M7" s="260">
        <v>39</v>
      </c>
      <c r="N7" s="261">
        <v>0.61458333333333337</v>
      </c>
      <c r="O7" s="262">
        <v>0.27083333333333331</v>
      </c>
      <c r="P7" s="262">
        <v>0.10416666666666667</v>
      </c>
      <c r="Q7" s="273">
        <v>1.0416666666666666E-2</v>
      </c>
      <c r="R7" s="263">
        <v>239</v>
      </c>
      <c r="S7" s="256">
        <v>52</v>
      </c>
      <c r="T7" s="71">
        <v>32</v>
      </c>
      <c r="U7" s="257">
        <v>21</v>
      </c>
      <c r="V7" s="252">
        <v>0.10476190476190476</v>
      </c>
      <c r="W7" s="256">
        <v>71</v>
      </c>
      <c r="X7" s="71">
        <v>29</v>
      </c>
      <c r="Y7" s="71">
        <v>6</v>
      </c>
      <c r="Z7" s="264">
        <v>0.27358490566037735</v>
      </c>
      <c r="AA7" s="256">
        <v>35</v>
      </c>
      <c r="AB7" s="71">
        <v>4</v>
      </c>
      <c r="AC7" s="265">
        <v>21.5</v>
      </c>
      <c r="AD7" s="256">
        <v>4</v>
      </c>
      <c r="AE7" s="71">
        <v>2</v>
      </c>
      <c r="AF7" s="265">
        <v>4</v>
      </c>
      <c r="AG7" s="266">
        <v>20</v>
      </c>
      <c r="AH7" s="4"/>
      <c r="AI7" s="4"/>
    </row>
    <row r="8" spans="3:35" x14ac:dyDescent="0.2">
      <c r="C8" s="169">
        <v>45494</v>
      </c>
      <c r="D8" s="6" t="s">
        <v>149</v>
      </c>
      <c r="E8" s="168" t="s">
        <v>129</v>
      </c>
      <c r="F8" s="256">
        <v>53</v>
      </c>
      <c r="G8" s="71">
        <v>15</v>
      </c>
      <c r="H8" s="257">
        <v>6</v>
      </c>
      <c r="I8" s="258">
        <v>74</v>
      </c>
      <c r="J8" s="259">
        <v>0.91891891891891897</v>
      </c>
      <c r="K8" s="256">
        <v>21</v>
      </c>
      <c r="L8" s="71">
        <v>5</v>
      </c>
      <c r="M8" s="260">
        <v>26</v>
      </c>
      <c r="N8" s="261">
        <v>0.59183673469387754</v>
      </c>
      <c r="O8" s="262">
        <v>0.2857142857142857</v>
      </c>
      <c r="P8" s="262">
        <v>0.12244897959183673</v>
      </c>
      <c r="Q8" s="262">
        <v>0</v>
      </c>
      <c r="R8" s="263">
        <v>121</v>
      </c>
      <c r="S8" s="256">
        <v>29</v>
      </c>
      <c r="T8" s="71">
        <v>23</v>
      </c>
      <c r="U8" s="257">
        <v>15</v>
      </c>
      <c r="V8" s="252">
        <v>0.11940298507462686</v>
      </c>
      <c r="W8" s="256">
        <v>50</v>
      </c>
      <c r="X8" s="71">
        <v>20</v>
      </c>
      <c r="Y8" s="71">
        <v>2</v>
      </c>
      <c r="Z8" s="264">
        <v>0.27777777777777779</v>
      </c>
      <c r="AA8" s="256">
        <v>13</v>
      </c>
      <c r="AB8" s="71">
        <v>3</v>
      </c>
      <c r="AC8" s="265">
        <v>9.5</v>
      </c>
      <c r="AD8" s="256">
        <v>4</v>
      </c>
      <c r="AE8" s="71">
        <v>0</v>
      </c>
      <c r="AF8" s="265">
        <v>2</v>
      </c>
      <c r="AG8" s="266">
        <v>7</v>
      </c>
      <c r="AH8" s="4"/>
      <c r="AI8" s="4"/>
    </row>
    <row r="9" spans="3:35" x14ac:dyDescent="0.2">
      <c r="C9" s="169">
        <v>45487</v>
      </c>
      <c r="D9" s="6" t="s">
        <v>147</v>
      </c>
      <c r="E9" s="168" t="s">
        <v>129</v>
      </c>
      <c r="F9" s="256">
        <v>56</v>
      </c>
      <c r="G9" s="71">
        <v>9</v>
      </c>
      <c r="H9" s="257">
        <v>9</v>
      </c>
      <c r="I9" s="258">
        <v>74</v>
      </c>
      <c r="J9" s="259">
        <v>0.8783783783783784</v>
      </c>
      <c r="K9" s="256">
        <v>12</v>
      </c>
      <c r="L9" s="71">
        <v>2</v>
      </c>
      <c r="M9" s="260">
        <v>14</v>
      </c>
      <c r="N9" s="261">
        <v>0.65</v>
      </c>
      <c r="O9" s="262">
        <v>0.15</v>
      </c>
      <c r="P9" s="262">
        <v>0.16666666666666666</v>
      </c>
      <c r="Q9" s="262">
        <v>3.3333333333333333E-2</v>
      </c>
      <c r="R9" s="263">
        <v>145</v>
      </c>
      <c r="S9" s="256">
        <v>24</v>
      </c>
      <c r="T9" s="71">
        <v>32</v>
      </c>
      <c r="U9" s="257">
        <v>9</v>
      </c>
      <c r="V9" s="252">
        <v>0.35384615384615387</v>
      </c>
      <c r="W9" s="256">
        <v>34</v>
      </c>
      <c r="X9" s="71">
        <v>31</v>
      </c>
      <c r="Y9" s="71">
        <v>2</v>
      </c>
      <c r="Z9" s="264">
        <v>0.46268656716417911</v>
      </c>
      <c r="AA9" s="256">
        <v>0</v>
      </c>
      <c r="AB9" s="71">
        <v>0</v>
      </c>
      <c r="AC9" s="265">
        <v>0</v>
      </c>
      <c r="AD9" s="256">
        <v>2</v>
      </c>
      <c r="AE9" s="71">
        <v>2</v>
      </c>
      <c r="AF9" s="265">
        <v>3</v>
      </c>
      <c r="AG9" s="266">
        <v>14</v>
      </c>
      <c r="AH9" s="4"/>
      <c r="AI9" s="4"/>
    </row>
    <row r="10" spans="3:35" x14ac:dyDescent="0.2">
      <c r="C10" s="169">
        <v>45480</v>
      </c>
      <c r="D10" s="6" t="s">
        <v>131</v>
      </c>
      <c r="E10" s="168" t="s">
        <v>130</v>
      </c>
      <c r="F10" s="256">
        <v>67</v>
      </c>
      <c r="G10" s="71">
        <v>6</v>
      </c>
      <c r="H10" s="257">
        <v>14</v>
      </c>
      <c r="I10" s="258">
        <v>87</v>
      </c>
      <c r="J10" s="259">
        <v>0.83908045977011492</v>
      </c>
      <c r="K10" s="256">
        <v>38</v>
      </c>
      <c r="L10" s="71">
        <v>6</v>
      </c>
      <c r="M10" s="260">
        <v>44</v>
      </c>
      <c r="N10" s="261">
        <v>0.54054054054054057</v>
      </c>
      <c r="O10" s="262">
        <v>0.27927927927927926</v>
      </c>
      <c r="P10" s="262">
        <v>0.14414414414414414</v>
      </c>
      <c r="Q10" s="262">
        <v>3.6036036036036036E-2</v>
      </c>
      <c r="R10" s="263">
        <v>258</v>
      </c>
      <c r="S10" s="256">
        <v>87</v>
      </c>
      <c r="T10" s="71">
        <v>40</v>
      </c>
      <c r="U10" s="257">
        <v>20</v>
      </c>
      <c r="V10" s="252">
        <v>0.1360544217687075</v>
      </c>
      <c r="W10" s="256">
        <v>107</v>
      </c>
      <c r="X10" s="71">
        <v>29</v>
      </c>
      <c r="Y10" s="71">
        <v>5</v>
      </c>
      <c r="Z10" s="264">
        <v>0.20567375886524822</v>
      </c>
      <c r="AA10" s="256">
        <v>12</v>
      </c>
      <c r="AB10" s="71">
        <v>1</v>
      </c>
      <c r="AC10" s="265">
        <v>7</v>
      </c>
      <c r="AD10" s="256">
        <v>10</v>
      </c>
      <c r="AE10" s="71">
        <v>3</v>
      </c>
      <c r="AF10" s="265">
        <v>8</v>
      </c>
      <c r="AG10" s="266">
        <v>21</v>
      </c>
      <c r="AH10" s="4"/>
      <c r="AI10" s="4"/>
    </row>
    <row r="11" spans="3:35" x14ac:dyDescent="0.2">
      <c r="C11" s="169">
        <v>45478</v>
      </c>
      <c r="D11" s="6" t="s">
        <v>128</v>
      </c>
      <c r="E11" s="168" t="s">
        <v>130</v>
      </c>
      <c r="F11" s="171">
        <v>72</v>
      </c>
      <c r="G11" s="70">
        <v>6</v>
      </c>
      <c r="H11" s="172">
        <v>12</v>
      </c>
      <c r="I11" s="216">
        <v>90</v>
      </c>
      <c r="J11" s="217">
        <v>0.8666666666666667</v>
      </c>
      <c r="K11" s="70">
        <v>17</v>
      </c>
      <c r="L11" s="70">
        <v>9</v>
      </c>
      <c r="M11" s="41">
        <v>26</v>
      </c>
      <c r="N11" s="234">
        <v>0.62037037037037035</v>
      </c>
      <c r="O11" s="235">
        <v>0.1388888888888889</v>
      </c>
      <c r="P11" s="235">
        <v>0.18518518518518517</v>
      </c>
      <c r="Q11" s="235">
        <v>5.5555555555555552E-2</v>
      </c>
      <c r="R11" s="44">
        <v>251</v>
      </c>
      <c r="S11" s="171">
        <v>60</v>
      </c>
      <c r="T11" s="70">
        <v>27</v>
      </c>
      <c r="U11" s="172">
        <v>8</v>
      </c>
      <c r="V11" s="252">
        <v>0.2</v>
      </c>
      <c r="W11" s="171">
        <v>71</v>
      </c>
      <c r="X11" s="70">
        <v>22</v>
      </c>
      <c r="Y11" s="70">
        <v>3</v>
      </c>
      <c r="Z11" s="173">
        <v>0.22916666666666666</v>
      </c>
      <c r="AA11" s="18"/>
      <c r="AB11" s="9"/>
      <c r="AC11" s="51"/>
      <c r="AD11" s="171">
        <v>8</v>
      </c>
      <c r="AE11" s="70">
        <v>4</v>
      </c>
      <c r="AF11" s="51">
        <v>8</v>
      </c>
      <c r="AG11" s="21">
        <v>18</v>
      </c>
      <c r="AH11" s="4"/>
      <c r="AI11" s="4"/>
    </row>
    <row r="12" spans="3:35" ht="17" thickBot="1" x14ac:dyDescent="0.25">
      <c r="C12" s="151">
        <v>45473</v>
      </c>
      <c r="D12" s="152" t="s">
        <v>70</v>
      </c>
      <c r="E12" s="153" t="s">
        <v>129</v>
      </c>
      <c r="F12" s="114">
        <v>59</v>
      </c>
      <c r="G12" s="115">
        <v>9</v>
      </c>
      <c r="H12" s="116">
        <v>16</v>
      </c>
      <c r="I12" s="40">
        <v>84</v>
      </c>
      <c r="J12" s="117">
        <v>0.80952380952380953</v>
      </c>
      <c r="K12" s="114">
        <v>17</v>
      </c>
      <c r="L12" s="115">
        <v>8</v>
      </c>
      <c r="M12" s="146">
        <v>25</v>
      </c>
      <c r="N12" s="236">
        <v>0.69047619047619047</v>
      </c>
      <c r="O12" s="237">
        <v>0.14285714285714285</v>
      </c>
      <c r="P12" s="237">
        <v>0.14285714285714285</v>
      </c>
      <c r="Q12" s="237">
        <v>2.3809523809523808E-2</v>
      </c>
      <c r="R12" s="147">
        <v>315</v>
      </c>
      <c r="S12" s="114">
        <v>44</v>
      </c>
      <c r="T12" s="115">
        <v>36</v>
      </c>
      <c r="U12" s="116">
        <v>17</v>
      </c>
      <c r="V12" s="170">
        <v>0.19587628865979381</v>
      </c>
      <c r="W12" s="114">
        <v>57</v>
      </c>
      <c r="X12" s="115">
        <v>33</v>
      </c>
      <c r="Y12" s="115">
        <v>6</v>
      </c>
      <c r="Z12" s="148">
        <v>0.34375</v>
      </c>
      <c r="AA12" s="73"/>
      <c r="AB12" s="73"/>
      <c r="AC12" s="149"/>
      <c r="AD12" s="114">
        <v>2</v>
      </c>
      <c r="AE12" s="115">
        <v>0</v>
      </c>
      <c r="AF12" s="149">
        <v>1</v>
      </c>
      <c r="AG12" s="150">
        <v>15</v>
      </c>
      <c r="AH12" s="4"/>
      <c r="AI12" s="4"/>
    </row>
    <row r="14" spans="3:35" x14ac:dyDescent="0.2">
      <c r="N14" s="288"/>
      <c r="O14" s="288"/>
      <c r="P14" s="288"/>
      <c r="Q14" s="288"/>
    </row>
    <row r="15" spans="3:35" x14ac:dyDescent="0.2">
      <c r="N15" s="289"/>
      <c r="O15" s="289"/>
      <c r="P15" s="289"/>
      <c r="Q15" s="289"/>
    </row>
  </sheetData>
  <mergeCells count="6">
    <mergeCell ref="AA2:AF2"/>
    <mergeCell ref="F2:J2"/>
    <mergeCell ref="K2:M2"/>
    <mergeCell ref="N2:R2"/>
    <mergeCell ref="S2:V2"/>
    <mergeCell ref="W2:Z2"/>
  </mergeCells>
  <conditionalFormatting sqref="F12:U12">
    <cfRule type="cellIs" dxfId="12" priority="34" operator="equal">
      <formula>0</formula>
    </cfRule>
  </conditionalFormatting>
  <conditionalFormatting sqref="I12">
    <cfRule type="top10" dxfId="11" priority="180" rank="1"/>
  </conditionalFormatting>
  <conditionalFormatting sqref="J12">
    <cfRule type="top10" dxfId="10" priority="181" rank="1"/>
  </conditionalFormatting>
  <conditionalFormatting sqref="M12">
    <cfRule type="top10" dxfId="9" priority="182" rank="1"/>
  </conditionalFormatting>
  <conditionalFormatting sqref="R12">
    <cfRule type="top10" dxfId="8" priority="183" rank="1"/>
  </conditionalFormatting>
  <conditionalFormatting sqref="V4:V11">
    <cfRule type="cellIs" dxfId="7" priority="4" operator="equal">
      <formula>0</formula>
    </cfRule>
  </conditionalFormatting>
  <conditionalFormatting sqref="V4:V12">
    <cfRule type="top10" dxfId="6" priority="184" rank="1"/>
  </conditionalFormatting>
  <conditionalFormatting sqref="V12:AG12">
    <cfRule type="cellIs" dxfId="5" priority="30" operator="equal">
      <formula>0</formula>
    </cfRule>
  </conditionalFormatting>
  <conditionalFormatting sqref="Z12">
    <cfRule type="top10" dxfId="4" priority="185" rank="1"/>
  </conditionalFormatting>
  <conditionalFormatting sqref="AA11:AB11">
    <cfRule type="cellIs" dxfId="3" priority="1" operator="equal">
      <formula>0</formula>
    </cfRule>
  </conditionalFormatting>
  <conditionalFormatting sqref="AC12">
    <cfRule type="top10" dxfId="2" priority="3" rank="1"/>
  </conditionalFormatting>
  <conditionalFormatting sqref="AF12">
    <cfRule type="top10" dxfId="1" priority="186" rank="1"/>
  </conditionalFormatting>
  <conditionalFormatting sqref="AG12">
    <cfRule type="top10" dxfId="0" priority="187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25</vt:i4>
      </vt:variant>
    </vt:vector>
  </HeadingPairs>
  <TitlesOfParts>
    <vt:vector size="30" baseType="lpstr">
      <vt:lpstr>Legend</vt:lpstr>
      <vt:lpstr>Data</vt:lpstr>
      <vt:lpstr>Match Score</vt:lpstr>
      <vt:lpstr>Set Score</vt:lpstr>
      <vt:lpstr>vs History</vt:lpstr>
      <vt:lpstr>AssistAttempt</vt:lpstr>
      <vt:lpstr>AssistError</vt:lpstr>
      <vt:lpstr>AssistSuccess</vt:lpstr>
      <vt:lpstr>AssistZero</vt:lpstr>
      <vt:lpstr>BlockError</vt:lpstr>
      <vt:lpstr>BlockHalf</vt:lpstr>
      <vt:lpstr>BlockKillError</vt:lpstr>
      <vt:lpstr>BlockKillHalf</vt:lpstr>
      <vt:lpstr>BlockKillSolo</vt:lpstr>
      <vt:lpstr>BlockSolo</vt:lpstr>
      <vt:lpstr>Cover</vt:lpstr>
      <vt:lpstr>Dig</vt:lpstr>
      <vt:lpstr>DigError</vt:lpstr>
      <vt:lpstr>GeneralError</vt:lpstr>
      <vt:lpstr>KillAttempt</vt:lpstr>
      <vt:lpstr>KillError</vt:lpstr>
      <vt:lpstr>KillSuccess</vt:lpstr>
      <vt:lpstr>OppKey</vt:lpstr>
      <vt:lpstr>Pass0</vt:lpstr>
      <vt:lpstr>Pass1</vt:lpstr>
      <vt:lpstr>Pass2</vt:lpstr>
      <vt:lpstr>Pass3</vt:lpstr>
      <vt:lpstr>ServeAce</vt:lpstr>
      <vt:lpstr>ServeError</vt:lpstr>
      <vt:lpstr>ServeIn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Ho</dc:creator>
  <cp:keywords/>
  <dc:description/>
  <cp:lastModifiedBy>Richard Ho</cp:lastModifiedBy>
  <cp:revision/>
  <dcterms:created xsi:type="dcterms:W3CDTF">2024-06-26T04:20:40Z</dcterms:created>
  <dcterms:modified xsi:type="dcterms:W3CDTF">2026-03-06T05:30:44Z</dcterms:modified>
  <cp:category/>
  <cp:contentStatus/>
</cp:coreProperties>
</file>